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ruanacr\Documents\Senior Year\"/>
    </mc:Choice>
  </mc:AlternateContent>
  <xr:revisionPtr revIDLastSave="0" documentId="13_ncr:1_{52888B26-F35B-48BA-8C79-11D89EF6424B}" xr6:coauthVersionLast="40" xr6:coauthVersionMax="40" xr10:uidLastSave="{00000000-0000-0000-0000-000000000000}"/>
  <bookViews>
    <workbookView xWindow="0" yWindow="0" windowWidth="27870" windowHeight="12750" xr2:uid="{C9834D69-1ADE-4263-818B-FE80D9B45866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3" i="1" l="1"/>
  <c r="D32" i="1"/>
  <c r="D29" i="1"/>
  <c r="D30" i="1"/>
  <c r="C29" i="1"/>
  <c r="C30" i="1"/>
  <c r="E30" i="1"/>
  <c r="F30" i="1"/>
  <c r="E29" i="1"/>
  <c r="F29" i="1"/>
  <c r="B30" i="1"/>
  <c r="B29" i="1"/>
  <c r="AN25" i="1"/>
  <c r="AN27" i="1"/>
  <c r="AN26" i="1"/>
  <c r="AN28" i="1"/>
  <c r="G25" i="1"/>
  <c r="K25" i="1"/>
  <c r="O25" i="1"/>
  <c r="S25" i="1"/>
  <c r="W25" i="1"/>
  <c r="AA25" i="1"/>
  <c r="AE25" i="1"/>
  <c r="AI25" i="1"/>
  <c r="AM25" i="1"/>
  <c r="J26" i="1"/>
  <c r="N26" i="1"/>
  <c r="R26" i="1"/>
  <c r="V26" i="1"/>
  <c r="Z26" i="1"/>
  <c r="AD26" i="1"/>
  <c r="AH26" i="1"/>
  <c r="AL26" i="1"/>
  <c r="I27" i="1"/>
  <c r="M27" i="1"/>
  <c r="Q27" i="1"/>
  <c r="U27" i="1"/>
  <c r="Y27" i="1"/>
  <c r="AC27" i="1"/>
  <c r="AG27" i="1"/>
  <c r="AK27" i="1"/>
  <c r="H28" i="1"/>
  <c r="L28" i="1"/>
  <c r="P28" i="1"/>
  <c r="T28" i="1"/>
  <c r="X28" i="1"/>
  <c r="AB28" i="1"/>
  <c r="AF28" i="1"/>
  <c r="AJ28" i="1"/>
  <c r="R25" i="1"/>
  <c r="AL25" i="1"/>
  <c r="Q26" i="1"/>
  <c r="AC26" i="1"/>
  <c r="H27" i="1"/>
  <c r="T27" i="1"/>
  <c r="AF27" i="1"/>
  <c r="K28" i="1"/>
  <c r="W28" i="1"/>
  <c r="AI28" i="1"/>
  <c r="H25" i="1"/>
  <c r="L25" i="1"/>
  <c r="P25" i="1"/>
  <c r="T25" i="1"/>
  <c r="X25" i="1"/>
  <c r="AB25" i="1"/>
  <c r="AF25" i="1"/>
  <c r="AJ25" i="1"/>
  <c r="G26" i="1"/>
  <c r="K26" i="1"/>
  <c r="O26" i="1"/>
  <c r="S26" i="1"/>
  <c r="W26" i="1"/>
  <c r="AA26" i="1"/>
  <c r="AE26" i="1"/>
  <c r="AI26" i="1"/>
  <c r="AM26" i="1"/>
  <c r="J27" i="1"/>
  <c r="N27" i="1"/>
  <c r="R27" i="1"/>
  <c r="V27" i="1"/>
  <c r="Z27" i="1"/>
  <c r="AD27" i="1"/>
  <c r="AH27" i="1"/>
  <c r="AL27" i="1"/>
  <c r="I28" i="1"/>
  <c r="M28" i="1"/>
  <c r="Q28" i="1"/>
  <c r="U28" i="1"/>
  <c r="Y28" i="1"/>
  <c r="AC28" i="1"/>
  <c r="AG28" i="1"/>
  <c r="AK28" i="1"/>
  <c r="N25" i="1"/>
  <c r="V25" i="1"/>
  <c r="AD25" i="1"/>
  <c r="I26" i="1"/>
  <c r="U26" i="1"/>
  <c r="AG26" i="1"/>
  <c r="L27" i="1"/>
  <c r="X27" i="1"/>
  <c r="AJ27" i="1"/>
  <c r="O28" i="1"/>
  <c r="AA28" i="1"/>
  <c r="AM28" i="1"/>
  <c r="I25" i="1"/>
  <c r="M25" i="1"/>
  <c r="Q25" i="1"/>
  <c r="U25" i="1"/>
  <c r="Y25" i="1"/>
  <c r="AC25" i="1"/>
  <c r="AG25" i="1"/>
  <c r="AK25" i="1"/>
  <c r="H26" i="1"/>
  <c r="L26" i="1"/>
  <c r="P26" i="1"/>
  <c r="T26" i="1"/>
  <c r="X26" i="1"/>
  <c r="AB26" i="1"/>
  <c r="AF26" i="1"/>
  <c r="AJ26" i="1"/>
  <c r="G27" i="1"/>
  <c r="K27" i="1"/>
  <c r="O27" i="1"/>
  <c r="S27" i="1"/>
  <c r="W27" i="1"/>
  <c r="AA27" i="1"/>
  <c r="AE27" i="1"/>
  <c r="AI27" i="1"/>
  <c r="AM27" i="1"/>
  <c r="J28" i="1"/>
  <c r="N28" i="1"/>
  <c r="R28" i="1"/>
  <c r="V28" i="1"/>
  <c r="Z28" i="1"/>
  <c r="AD28" i="1"/>
  <c r="AH28" i="1"/>
  <c r="AL28" i="1"/>
  <c r="J25" i="1"/>
  <c r="Z25" i="1"/>
  <c r="AH25" i="1"/>
  <c r="M26" i="1"/>
  <c r="Y26" i="1"/>
  <c r="AK26" i="1"/>
  <c r="P27" i="1"/>
  <c r="AB27" i="1"/>
  <c r="G28" i="1"/>
  <c r="S28" i="1"/>
  <c r="AE28" i="1"/>
  <c r="AN30" i="1" l="1"/>
  <c r="AN29" i="1"/>
  <c r="AE30" i="1"/>
  <c r="S30" i="1"/>
  <c r="G30" i="1"/>
  <c r="AB29" i="1"/>
  <c r="P29" i="1"/>
  <c r="AL30" i="1"/>
  <c r="AH30" i="1"/>
  <c r="AD30" i="1"/>
  <c r="Z30" i="1"/>
  <c r="V30" i="1"/>
  <c r="R30" i="1"/>
  <c r="N30" i="1"/>
  <c r="J30" i="1"/>
  <c r="AM29" i="1"/>
  <c r="AI29" i="1"/>
  <c r="AE29" i="1"/>
  <c r="AA29" i="1"/>
  <c r="W29" i="1"/>
  <c r="S29" i="1"/>
  <c r="O29" i="1"/>
  <c r="K29" i="1"/>
  <c r="G29" i="1"/>
  <c r="AM30" i="1"/>
  <c r="AA30" i="1"/>
  <c r="O30" i="1"/>
  <c r="AJ29" i="1"/>
  <c r="X29" i="1"/>
  <c r="L29" i="1"/>
  <c r="AK30" i="1"/>
  <c r="AG30" i="1"/>
  <c r="AC30" i="1"/>
  <c r="Y30" i="1"/>
  <c r="U30" i="1"/>
  <c r="Q30" i="1"/>
  <c r="M30" i="1"/>
  <c r="I30" i="1"/>
  <c r="AL29" i="1"/>
  <c r="AH29" i="1"/>
  <c r="AD29" i="1"/>
  <c r="Z29" i="1"/>
  <c r="V29" i="1"/>
  <c r="R29" i="1"/>
  <c r="N29" i="1"/>
  <c r="J29" i="1"/>
  <c r="AI30" i="1"/>
  <c r="W30" i="1"/>
  <c r="K30" i="1"/>
  <c r="AF29" i="1"/>
  <c r="T29" i="1"/>
  <c r="H29" i="1"/>
  <c r="AJ30" i="1"/>
  <c r="AF30" i="1"/>
  <c r="AB30" i="1"/>
  <c r="X30" i="1"/>
  <c r="T30" i="1"/>
  <c r="P30" i="1"/>
  <c r="L30" i="1"/>
  <c r="H30" i="1"/>
  <c r="AK29" i="1"/>
  <c r="AG29" i="1"/>
  <c r="AC29" i="1"/>
  <c r="Y29" i="1"/>
  <c r="U29" i="1"/>
  <c r="Q29" i="1"/>
  <c r="M29" i="1"/>
  <c r="I29" i="1"/>
  <c r="C28" i="1"/>
  <c r="D28" i="1"/>
  <c r="E28" i="1"/>
  <c r="F28" i="1"/>
  <c r="B28" i="1"/>
  <c r="C27" i="1"/>
  <c r="D27" i="1"/>
  <c r="E27" i="1"/>
  <c r="F27" i="1"/>
  <c r="B27" i="1"/>
  <c r="C26" i="1"/>
  <c r="D26" i="1"/>
  <c r="E26" i="1"/>
  <c r="F26" i="1"/>
  <c r="B26" i="1"/>
  <c r="C25" i="1"/>
  <c r="D25" i="1"/>
  <c r="E25" i="1"/>
  <c r="F25" i="1"/>
  <c r="B25" i="1"/>
</calcChain>
</file>

<file path=xl/sharedStrings.xml><?xml version="1.0" encoding="utf-8"?>
<sst xmlns="http://schemas.openxmlformats.org/spreadsheetml/2006/main" count="68" uniqueCount="68">
  <si>
    <t>GW1</t>
  </si>
  <si>
    <t>GW2</t>
  </si>
  <si>
    <t>GW3</t>
  </si>
  <si>
    <t>GW4</t>
  </si>
  <si>
    <t>GW5</t>
  </si>
  <si>
    <t>GW6</t>
  </si>
  <si>
    <t>GW7</t>
  </si>
  <si>
    <t>GW8</t>
  </si>
  <si>
    <t>GW9</t>
  </si>
  <si>
    <t>GW10</t>
  </si>
  <si>
    <t>GW11</t>
  </si>
  <si>
    <t>GW12</t>
  </si>
  <si>
    <t>GW13</t>
  </si>
  <si>
    <t>GW14</t>
  </si>
  <si>
    <t>GW15</t>
  </si>
  <si>
    <t>GW16</t>
  </si>
  <si>
    <t>GW17</t>
  </si>
  <si>
    <t>GW18</t>
  </si>
  <si>
    <t>GW19</t>
  </si>
  <si>
    <t>GW20</t>
  </si>
  <si>
    <t>Gameweek</t>
  </si>
  <si>
    <t>Mendy</t>
  </si>
  <si>
    <t>Bellerin</t>
  </si>
  <si>
    <t>Oriol Romeu</t>
  </si>
  <si>
    <t>Cairney</t>
  </si>
  <si>
    <t>Milivojevic</t>
  </si>
  <si>
    <t>Pereyra</t>
  </si>
  <si>
    <t>Fraser</t>
  </si>
  <si>
    <t>Jota</t>
  </si>
  <si>
    <t>Hazard</t>
  </si>
  <si>
    <t>Auba</t>
  </si>
  <si>
    <t>Kamara</t>
  </si>
  <si>
    <t>Zaha</t>
  </si>
  <si>
    <t>Vardy</t>
  </si>
  <si>
    <t>Patricio</t>
  </si>
  <si>
    <t>Hamer</t>
  </si>
  <si>
    <t>TAA</t>
  </si>
  <si>
    <t>Robbo</t>
  </si>
  <si>
    <t>Billing</t>
  </si>
  <si>
    <t>Trippier</t>
  </si>
  <si>
    <t>Alonso</t>
  </si>
  <si>
    <t>Maguire</t>
  </si>
  <si>
    <t>King</t>
  </si>
  <si>
    <t>Arnie</t>
  </si>
  <si>
    <t>Wan-B</t>
  </si>
  <si>
    <t>Yedlin</t>
  </si>
  <si>
    <t>Rudiger</t>
  </si>
  <si>
    <t>Bilva</t>
  </si>
  <si>
    <t>Aguero</t>
  </si>
  <si>
    <t>Digne</t>
  </si>
  <si>
    <t>Dilva</t>
  </si>
  <si>
    <t>Felipe A</t>
  </si>
  <si>
    <t>Salah</t>
  </si>
  <si>
    <t>Kane</t>
  </si>
  <si>
    <t>Wilson</t>
  </si>
  <si>
    <t>Sterling</t>
  </si>
  <si>
    <t>Dele</t>
  </si>
  <si>
    <t>Mane</t>
  </si>
  <si>
    <t>Davies</t>
  </si>
  <si>
    <t>VVD</t>
  </si>
  <si>
    <t>Weeks In</t>
  </si>
  <si>
    <t>Weeks Out</t>
  </si>
  <si>
    <t>Points In</t>
  </si>
  <si>
    <t>Points Out</t>
  </si>
  <si>
    <t>Points/Week In</t>
  </si>
  <si>
    <t>Points/Week Out</t>
  </si>
  <si>
    <t>Captaincy Points (non-doubled)</t>
  </si>
  <si>
    <t>Avg Captain Points/Week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</si>
</sst>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.000"/>
  </numFmts>
  <fonts count="2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0" fontId="1" fillId="0" borderId="0" xfId="0" applyFont="1" applyAlignment="1"/>
    <xf numFmtId="0" fontId="1" fillId="2" borderId="0" xfId="0" applyFont="1" applyFill="1"/>
    <xf numFmtId="0" fontId="1" fillId="2" borderId="1" xfId="0" applyFont="1" applyFill="1" applyBorder="1"/>
    <xf numFmtId="0" fontId="1" fillId="0" borderId="0" xfId="0" applyFont="1" applyFill="1"/>
    <xf numFmtId="0" fontId="1" fillId="2" borderId="2" xfId="0" applyFont="1" applyFill="1" applyBorder="1"/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5" xfId="0" applyFont="1" applyBorder="1"/>
    <xf numFmtId="0" fontId="1" fillId="0" borderId="8" xfId="0" applyFont="1" applyBorder="1"/>
    <xf numFmtId="165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81633-57E7-4043-ACE3-D982CE764A4B}">
  <sheetPr codeName="Sheet1"/>
  <dimension ref="A1:AN41"/>
  <sheetViews>
    <sheetView tabSelected="1" workbookViewId="0">
      <selection activeCell="AH39" sqref="AH39"/>
    </sheetView>
  </sheetViews>
  <sheetFormatPr defaultRowHeight="12.75" x14ac:dyDescent="0.2"/>
  <cols>
    <col min="1" max="1" width="14.28515625" style="1" bestFit="1" customWidth="1"/>
    <col min="2" max="2" width="6.7109375" style="1" bestFit="1" customWidth="1"/>
    <col min="3" max="3" width="6.5703125" style="1" bestFit="1" customWidth="1"/>
    <col min="4" max="4" width="10.42578125" style="1" bestFit="1" customWidth="1"/>
    <col min="5" max="5" width="6.85546875" style="1" bestFit="1" customWidth="1"/>
    <col min="6" max="6" width="9.5703125" style="1" bestFit="1" customWidth="1"/>
    <col min="7" max="7" width="6.7109375" style="1" bestFit="1" customWidth="1"/>
    <col min="8" max="8" width="5.7109375" style="1" bestFit="1" customWidth="1"/>
    <col min="9" max="9" width="4.85546875" style="1" bestFit="1" customWidth="1"/>
    <col min="10" max="10" width="6.28515625" style="1" bestFit="1" customWidth="1"/>
    <col min="11" max="11" width="5.28515625" style="1" bestFit="1" customWidth="1"/>
    <col min="12" max="12" width="6.7109375" style="1" bestFit="1" customWidth="1"/>
    <col min="13" max="13" width="4.85546875" style="1" bestFit="1" customWidth="1"/>
    <col min="14" max="14" width="5.5703125" style="1" bestFit="1" customWidth="1"/>
    <col min="15" max="15" width="6.7109375" style="1" bestFit="1" customWidth="1"/>
    <col min="16" max="16" width="5.85546875" style="1" bestFit="1" customWidth="1"/>
    <col min="17" max="17" width="5" style="1" bestFit="1" customWidth="1"/>
    <col min="18" max="18" width="6.140625" style="1" bestFit="1" customWidth="1"/>
    <col min="19" max="19" width="5.85546875" style="1" bestFit="1" customWidth="1"/>
    <col min="20" max="20" width="7" style="1" bestFit="1" customWidth="1"/>
    <col min="21" max="21" width="6.7109375" style="1" bestFit="1" customWidth="1"/>
    <col min="22" max="22" width="7.42578125" style="1" bestFit="1" customWidth="1"/>
    <col min="23" max="23" width="4.85546875" style="1" bestFit="1" customWidth="1"/>
    <col min="24" max="24" width="5.28515625" style="1" bestFit="1" customWidth="1"/>
    <col min="25" max="25" width="6.42578125" style="1" bestFit="1" customWidth="1"/>
    <col min="26" max="26" width="5.85546875" style="1" bestFit="1" customWidth="1"/>
    <col min="27" max="27" width="7" style="1" bestFit="1" customWidth="1"/>
    <col min="28" max="28" width="4.85546875" style="1" bestFit="1" customWidth="1"/>
    <col min="29" max="29" width="6.85546875" style="1" bestFit="1" customWidth="1"/>
    <col min="30" max="30" width="5.5703125" style="1" bestFit="1" customWidth="1"/>
    <col min="31" max="31" width="5" style="1" bestFit="1" customWidth="1"/>
    <col min="32" max="32" width="7.42578125" style="1" bestFit="1" customWidth="1"/>
    <col min="33" max="33" width="5.7109375" style="1" bestFit="1" customWidth="1"/>
    <col min="34" max="34" width="5" style="1" bestFit="1" customWidth="1"/>
    <col min="35" max="35" width="6.85546875" style="1" bestFit="1" customWidth="1"/>
    <col min="36" max="36" width="6.5703125" style="1" bestFit="1" customWidth="1"/>
    <col min="37" max="37" width="4.85546875" style="1" bestFit="1" customWidth="1"/>
    <col min="38" max="38" width="5.42578125" style="1" bestFit="1" customWidth="1"/>
    <col min="39" max="39" width="6.28515625" style="1" bestFit="1" customWidth="1"/>
    <col min="40" max="40" width="4.85546875" style="1" bestFit="1" customWidth="1"/>
    <col min="41" max="16384" width="9.140625" style="1"/>
  </cols>
  <sheetData>
    <row r="1" spans="1:40" ht="13.5" thickBot="1" x14ac:dyDescent="0.25">
      <c r="A1" s="1" t="s">
        <v>20</v>
      </c>
      <c r="B1" s="1" t="s">
        <v>22</v>
      </c>
      <c r="C1" s="2" t="s">
        <v>21</v>
      </c>
      <c r="D1" s="2" t="s">
        <v>23</v>
      </c>
      <c r="E1" s="2" t="s">
        <v>24</v>
      </c>
      <c r="F1" s="2" t="s">
        <v>25</v>
      </c>
      <c r="G1" s="2" t="s">
        <v>26</v>
      </c>
      <c r="H1" s="2" t="s">
        <v>27</v>
      </c>
      <c r="I1" s="2" t="s">
        <v>28</v>
      </c>
      <c r="J1" s="2" t="s">
        <v>29</v>
      </c>
      <c r="K1" s="2" t="s">
        <v>30</v>
      </c>
      <c r="L1" s="2" t="s">
        <v>31</v>
      </c>
      <c r="M1" s="2" t="s">
        <v>32</v>
      </c>
      <c r="N1" s="2" t="s">
        <v>33</v>
      </c>
      <c r="O1" s="2" t="s">
        <v>34</v>
      </c>
      <c r="P1" s="2" t="s">
        <v>35</v>
      </c>
      <c r="Q1" s="2" t="s">
        <v>36</v>
      </c>
      <c r="R1" s="2" t="s">
        <v>37</v>
      </c>
      <c r="S1" s="2" t="s">
        <v>38</v>
      </c>
      <c r="T1" s="2" t="s">
        <v>39</v>
      </c>
      <c r="U1" s="2" t="s">
        <v>40</v>
      </c>
      <c r="V1" s="2" t="s">
        <v>41</v>
      </c>
      <c r="W1" s="2" t="s">
        <v>42</v>
      </c>
      <c r="X1" s="2" t="s">
        <v>43</v>
      </c>
      <c r="Y1" s="2" t="s">
        <v>44</v>
      </c>
      <c r="Z1" s="2" t="s">
        <v>45</v>
      </c>
      <c r="AA1" s="2" t="s">
        <v>46</v>
      </c>
      <c r="AB1" s="2" t="s">
        <v>47</v>
      </c>
      <c r="AC1" s="2" t="s">
        <v>48</v>
      </c>
      <c r="AD1" s="2" t="s">
        <v>49</v>
      </c>
      <c r="AE1" s="2" t="s">
        <v>50</v>
      </c>
      <c r="AF1" s="2" t="s">
        <v>51</v>
      </c>
      <c r="AG1" s="2" t="s">
        <v>52</v>
      </c>
      <c r="AH1" s="2" t="s">
        <v>53</v>
      </c>
      <c r="AI1" s="2" t="s">
        <v>55</v>
      </c>
      <c r="AJ1" s="2" t="s">
        <v>54</v>
      </c>
      <c r="AK1" s="2" t="s">
        <v>56</v>
      </c>
      <c r="AL1" s="2" t="s">
        <v>57</v>
      </c>
      <c r="AM1" s="2" t="s">
        <v>58</v>
      </c>
      <c r="AN1" s="2" t="s">
        <v>59</v>
      </c>
    </row>
    <row r="2" spans="1:40" ht="13.5" thickBot="1" x14ac:dyDescent="0.25">
      <c r="A2" s="1" t="s">
        <v>0</v>
      </c>
      <c r="B2" s="3">
        <v>1</v>
      </c>
      <c r="C2" s="1">
        <v>15</v>
      </c>
      <c r="D2" s="1">
        <v>3</v>
      </c>
      <c r="E2" s="3">
        <v>2</v>
      </c>
      <c r="F2" s="3">
        <v>3</v>
      </c>
      <c r="G2" s="1">
        <v>16</v>
      </c>
      <c r="H2" s="1">
        <v>11</v>
      </c>
      <c r="I2" s="3">
        <v>5</v>
      </c>
      <c r="J2" s="1">
        <v>4</v>
      </c>
      <c r="K2" s="3">
        <v>2</v>
      </c>
      <c r="L2" s="1">
        <v>1</v>
      </c>
      <c r="M2" s="3">
        <v>5</v>
      </c>
      <c r="N2" s="1">
        <v>6</v>
      </c>
      <c r="O2" s="3">
        <v>2</v>
      </c>
      <c r="P2" s="1">
        <v>1</v>
      </c>
      <c r="Q2" s="3">
        <v>5</v>
      </c>
      <c r="R2" s="1">
        <v>11</v>
      </c>
      <c r="S2" s="1">
        <v>2</v>
      </c>
      <c r="T2" s="1">
        <v>0</v>
      </c>
      <c r="U2" s="3">
        <v>11</v>
      </c>
      <c r="V2" s="1">
        <v>1</v>
      </c>
      <c r="W2" s="3">
        <v>2</v>
      </c>
      <c r="X2" s="1">
        <v>2</v>
      </c>
      <c r="Y2" s="3">
        <v>12</v>
      </c>
      <c r="Z2" s="1">
        <v>1</v>
      </c>
      <c r="AA2" s="1">
        <v>9</v>
      </c>
      <c r="AB2" s="1">
        <v>8</v>
      </c>
      <c r="AC2" s="1">
        <v>2</v>
      </c>
      <c r="AD2" s="1">
        <v>1</v>
      </c>
      <c r="AE2" s="1">
        <v>0</v>
      </c>
      <c r="AF2" s="1">
        <v>2</v>
      </c>
      <c r="AG2" s="4">
        <v>8</v>
      </c>
      <c r="AH2" s="1">
        <v>1</v>
      </c>
      <c r="AI2" s="1">
        <v>7</v>
      </c>
      <c r="AJ2" s="1">
        <v>8</v>
      </c>
      <c r="AK2" s="1">
        <v>9</v>
      </c>
      <c r="AL2" s="3">
        <v>16</v>
      </c>
      <c r="AM2" s="1">
        <v>2</v>
      </c>
      <c r="AN2" s="1">
        <v>6</v>
      </c>
    </row>
    <row r="3" spans="1:40" ht="13.5" thickBot="1" x14ac:dyDescent="0.25">
      <c r="A3" s="1" t="s">
        <v>1</v>
      </c>
      <c r="B3" s="1">
        <v>1</v>
      </c>
      <c r="C3" s="3">
        <v>8</v>
      </c>
      <c r="D3" s="3">
        <v>1</v>
      </c>
      <c r="E3" s="1">
        <v>2</v>
      </c>
      <c r="F3" s="3">
        <v>2</v>
      </c>
      <c r="G3" s="1">
        <v>2</v>
      </c>
      <c r="H3" s="1">
        <v>6</v>
      </c>
      <c r="I3" s="3">
        <v>1</v>
      </c>
      <c r="J3" s="1">
        <v>4</v>
      </c>
      <c r="K3" s="3">
        <v>2</v>
      </c>
      <c r="L3" s="1">
        <v>2</v>
      </c>
      <c r="M3" s="3">
        <v>2</v>
      </c>
      <c r="N3" s="1">
        <v>-1</v>
      </c>
      <c r="O3" s="3">
        <v>1</v>
      </c>
      <c r="P3" s="1">
        <v>2</v>
      </c>
      <c r="Q3" s="3">
        <v>5</v>
      </c>
      <c r="R3" s="1">
        <v>7</v>
      </c>
      <c r="S3" s="1">
        <v>1</v>
      </c>
      <c r="T3" s="1">
        <v>11</v>
      </c>
      <c r="U3" s="3">
        <v>13</v>
      </c>
      <c r="V3" s="1">
        <v>5</v>
      </c>
      <c r="W3" s="3">
        <v>1</v>
      </c>
      <c r="X3" s="1">
        <v>8</v>
      </c>
      <c r="Y3" s="3">
        <v>-2</v>
      </c>
      <c r="Z3" s="1">
        <v>0</v>
      </c>
      <c r="AA3" s="1">
        <v>1</v>
      </c>
      <c r="AB3" s="1">
        <v>2</v>
      </c>
      <c r="AC3" s="1">
        <v>20</v>
      </c>
      <c r="AD3" s="1">
        <v>0</v>
      </c>
      <c r="AE3" s="1">
        <v>9</v>
      </c>
      <c r="AF3" s="1">
        <v>1</v>
      </c>
      <c r="AG3" s="4">
        <v>9</v>
      </c>
      <c r="AH3" s="1">
        <v>7</v>
      </c>
      <c r="AI3" s="1">
        <v>0</v>
      </c>
      <c r="AJ3" s="1">
        <v>6</v>
      </c>
      <c r="AK3" s="1">
        <v>5</v>
      </c>
      <c r="AL3" s="3">
        <v>10</v>
      </c>
      <c r="AM3" s="1">
        <v>2</v>
      </c>
      <c r="AN3" s="1">
        <v>6</v>
      </c>
    </row>
    <row r="4" spans="1:40" ht="13.5" thickBot="1" x14ac:dyDescent="0.25">
      <c r="A4" s="1" t="s">
        <v>2</v>
      </c>
      <c r="B4" s="1">
        <v>5</v>
      </c>
      <c r="C4" s="3">
        <v>4</v>
      </c>
      <c r="D4" s="3">
        <v>1</v>
      </c>
      <c r="E4" s="1">
        <v>5</v>
      </c>
      <c r="F4" s="3">
        <v>2</v>
      </c>
      <c r="G4" s="1">
        <v>8</v>
      </c>
      <c r="H4" s="1">
        <v>2</v>
      </c>
      <c r="I4" s="3">
        <v>2</v>
      </c>
      <c r="J4" s="1">
        <v>8</v>
      </c>
      <c r="K4" s="3">
        <v>2</v>
      </c>
      <c r="L4" s="1">
        <v>0</v>
      </c>
      <c r="M4" s="3">
        <v>5</v>
      </c>
      <c r="N4" s="1">
        <v>0</v>
      </c>
      <c r="O4" s="3">
        <v>3</v>
      </c>
      <c r="P4" s="1">
        <v>1</v>
      </c>
      <c r="Q4" s="3">
        <v>5</v>
      </c>
      <c r="R4" s="1">
        <v>9</v>
      </c>
      <c r="S4" s="1">
        <v>3</v>
      </c>
      <c r="T4" s="1">
        <v>11</v>
      </c>
      <c r="U4" s="3">
        <v>11</v>
      </c>
      <c r="V4" s="1">
        <v>10</v>
      </c>
      <c r="W4" s="3">
        <v>9</v>
      </c>
      <c r="X4" s="1">
        <v>5</v>
      </c>
      <c r="Y4" s="3">
        <v>0</v>
      </c>
      <c r="Z4" s="1">
        <v>2</v>
      </c>
      <c r="AA4" s="1">
        <v>2</v>
      </c>
      <c r="AB4" s="1">
        <v>2</v>
      </c>
      <c r="AC4" s="1">
        <v>2</v>
      </c>
      <c r="AD4" s="1">
        <v>0</v>
      </c>
      <c r="AE4" s="1">
        <v>1</v>
      </c>
      <c r="AF4" s="1">
        <v>5</v>
      </c>
      <c r="AG4" s="4">
        <v>8</v>
      </c>
      <c r="AH4" s="1">
        <v>10</v>
      </c>
      <c r="AI4" s="1">
        <v>2</v>
      </c>
      <c r="AJ4" s="1">
        <v>8</v>
      </c>
      <c r="AK4" s="1">
        <v>3</v>
      </c>
      <c r="AL4" s="3">
        <v>3</v>
      </c>
      <c r="AM4" s="1">
        <v>1</v>
      </c>
      <c r="AN4" s="1">
        <v>8</v>
      </c>
    </row>
    <row r="5" spans="1:40" ht="13.5" thickBot="1" x14ac:dyDescent="0.25">
      <c r="A5" s="1" t="s">
        <v>3</v>
      </c>
      <c r="B5" s="1">
        <v>0</v>
      </c>
      <c r="C5" s="3">
        <v>5</v>
      </c>
      <c r="D5" s="3">
        <v>1</v>
      </c>
      <c r="E5" s="1">
        <v>0</v>
      </c>
      <c r="F5" s="5">
        <v>2</v>
      </c>
      <c r="G5" s="3">
        <v>2</v>
      </c>
      <c r="H5" s="3">
        <v>2</v>
      </c>
      <c r="I5" s="1">
        <v>3</v>
      </c>
      <c r="J5" s="1">
        <v>11</v>
      </c>
      <c r="K5" s="3">
        <v>8</v>
      </c>
      <c r="L5" s="1">
        <v>0</v>
      </c>
      <c r="M5" s="3">
        <v>0</v>
      </c>
      <c r="N5" s="1">
        <v>0</v>
      </c>
      <c r="O5" s="3">
        <v>7</v>
      </c>
      <c r="P5" s="1">
        <v>0</v>
      </c>
      <c r="Q5" s="3">
        <v>2</v>
      </c>
      <c r="R5" s="1">
        <v>5</v>
      </c>
      <c r="S5" s="1">
        <v>9</v>
      </c>
      <c r="T5" s="1">
        <v>1</v>
      </c>
      <c r="U5" s="3">
        <v>9</v>
      </c>
      <c r="V5" s="1">
        <v>1</v>
      </c>
      <c r="W5" s="3">
        <v>2</v>
      </c>
      <c r="X5" s="1">
        <v>2</v>
      </c>
      <c r="Y5" s="3">
        <v>0</v>
      </c>
      <c r="Z5" s="1">
        <v>7</v>
      </c>
      <c r="AA5" s="1">
        <v>6</v>
      </c>
      <c r="AB5" s="1">
        <v>1</v>
      </c>
      <c r="AC5" s="1">
        <v>6</v>
      </c>
      <c r="AD5" s="1">
        <v>7</v>
      </c>
      <c r="AE5" s="1">
        <v>2</v>
      </c>
      <c r="AF5" s="1">
        <v>2</v>
      </c>
      <c r="AG5" s="4">
        <v>2</v>
      </c>
      <c r="AH5" s="1">
        <v>2</v>
      </c>
      <c r="AI5" s="1">
        <v>10</v>
      </c>
      <c r="AJ5" s="1">
        <v>2</v>
      </c>
      <c r="AK5" s="1">
        <v>2</v>
      </c>
      <c r="AL5" s="3">
        <v>10</v>
      </c>
      <c r="AM5" s="1">
        <v>1</v>
      </c>
      <c r="AN5" s="1">
        <v>1</v>
      </c>
    </row>
    <row r="6" spans="1:40" ht="13.5" thickBot="1" x14ac:dyDescent="0.25">
      <c r="A6" s="1" t="s">
        <v>4</v>
      </c>
      <c r="B6" s="1">
        <v>2</v>
      </c>
      <c r="C6" s="3">
        <v>0</v>
      </c>
      <c r="D6" s="3">
        <v>0</v>
      </c>
      <c r="E6" s="1">
        <v>0</v>
      </c>
      <c r="F6" s="1">
        <v>3</v>
      </c>
      <c r="G6" s="3">
        <v>2</v>
      </c>
      <c r="H6" s="3">
        <v>18</v>
      </c>
      <c r="I6" s="1">
        <v>2</v>
      </c>
      <c r="J6" s="1">
        <v>20</v>
      </c>
      <c r="K6" s="3">
        <v>5</v>
      </c>
      <c r="L6" s="1">
        <v>0</v>
      </c>
      <c r="M6" s="3">
        <v>7</v>
      </c>
      <c r="N6" s="1">
        <v>2</v>
      </c>
      <c r="O6" s="3">
        <v>6</v>
      </c>
      <c r="P6" s="1">
        <v>0</v>
      </c>
      <c r="Q6" s="3">
        <v>6</v>
      </c>
      <c r="R6" s="1">
        <v>2</v>
      </c>
      <c r="S6" s="1">
        <v>2</v>
      </c>
      <c r="T6" s="1">
        <v>1</v>
      </c>
      <c r="U6" s="4">
        <v>2</v>
      </c>
      <c r="V6" s="1">
        <v>-1</v>
      </c>
      <c r="W6" s="3">
        <v>11</v>
      </c>
      <c r="X6" s="1">
        <v>12</v>
      </c>
      <c r="Y6" s="3">
        <v>9</v>
      </c>
      <c r="Z6" s="1">
        <v>1</v>
      </c>
      <c r="AA6" s="1">
        <v>2</v>
      </c>
      <c r="AB6" s="1">
        <v>3</v>
      </c>
      <c r="AC6" s="1">
        <v>7</v>
      </c>
      <c r="AD6" s="1">
        <v>1</v>
      </c>
      <c r="AE6" s="1">
        <v>11</v>
      </c>
      <c r="AF6" s="1">
        <v>2</v>
      </c>
      <c r="AG6" s="3">
        <v>2</v>
      </c>
      <c r="AH6" s="1">
        <v>2</v>
      </c>
      <c r="AI6" s="1">
        <v>8</v>
      </c>
      <c r="AJ6" s="1">
        <v>4</v>
      </c>
      <c r="AK6" s="1">
        <v>0</v>
      </c>
      <c r="AL6" s="3">
        <v>2</v>
      </c>
      <c r="AM6" s="1">
        <v>0</v>
      </c>
      <c r="AN6" s="1">
        <v>2</v>
      </c>
    </row>
    <row r="7" spans="1:40" ht="13.5" thickBot="1" x14ac:dyDescent="0.25">
      <c r="A7" s="1" t="s">
        <v>5</v>
      </c>
      <c r="B7" s="1">
        <v>6</v>
      </c>
      <c r="C7" s="5">
        <v>0</v>
      </c>
      <c r="D7" s="5">
        <v>0</v>
      </c>
      <c r="E7" s="1">
        <v>0</v>
      </c>
      <c r="F7" s="1">
        <v>3</v>
      </c>
      <c r="G7" s="1">
        <v>2</v>
      </c>
      <c r="H7" s="3">
        <v>2</v>
      </c>
      <c r="I7" s="1">
        <v>2</v>
      </c>
      <c r="J7" s="3">
        <v>3</v>
      </c>
      <c r="K7" s="1">
        <v>7</v>
      </c>
      <c r="L7" s="3">
        <v>0</v>
      </c>
      <c r="M7" s="1">
        <v>2</v>
      </c>
      <c r="N7" s="4">
        <v>11</v>
      </c>
      <c r="O7" s="1">
        <v>3</v>
      </c>
      <c r="P7" s="3">
        <v>0</v>
      </c>
      <c r="Q7" s="1">
        <v>11</v>
      </c>
      <c r="R7" s="3">
        <v>7</v>
      </c>
      <c r="S7" s="3">
        <v>2</v>
      </c>
      <c r="T7" s="3">
        <v>4</v>
      </c>
      <c r="U7" s="3">
        <v>6</v>
      </c>
      <c r="V7" s="1">
        <v>2</v>
      </c>
      <c r="W7" s="3">
        <v>2</v>
      </c>
      <c r="X7" s="1">
        <v>0</v>
      </c>
      <c r="Y7" s="3">
        <v>9</v>
      </c>
      <c r="Z7" s="1">
        <v>5</v>
      </c>
      <c r="AA7" s="1">
        <v>6</v>
      </c>
      <c r="AB7" s="1">
        <v>14</v>
      </c>
      <c r="AC7" s="1">
        <v>6</v>
      </c>
      <c r="AD7" s="1">
        <v>0</v>
      </c>
      <c r="AE7" s="1">
        <v>0</v>
      </c>
      <c r="AF7" s="1">
        <v>2</v>
      </c>
      <c r="AG7" s="3">
        <v>8</v>
      </c>
      <c r="AH7" s="1">
        <v>9</v>
      </c>
      <c r="AI7" s="1">
        <v>6</v>
      </c>
      <c r="AJ7" s="1">
        <v>2</v>
      </c>
      <c r="AK7" s="1">
        <v>1</v>
      </c>
      <c r="AL7" s="3">
        <v>3</v>
      </c>
      <c r="AM7" s="1">
        <v>0</v>
      </c>
      <c r="AN7" s="1">
        <v>1</v>
      </c>
    </row>
    <row r="8" spans="1:40" ht="13.5" thickBot="1" x14ac:dyDescent="0.25">
      <c r="A8" s="1" t="s">
        <v>6</v>
      </c>
      <c r="B8" s="1">
        <v>8</v>
      </c>
      <c r="C8" s="1">
        <v>0</v>
      </c>
      <c r="D8" s="1">
        <v>0</v>
      </c>
      <c r="E8" s="1">
        <v>1</v>
      </c>
      <c r="F8" s="1">
        <v>2</v>
      </c>
      <c r="G8" s="1">
        <v>2</v>
      </c>
      <c r="H8" s="3">
        <v>1</v>
      </c>
      <c r="I8" s="1">
        <v>2</v>
      </c>
      <c r="J8" s="3">
        <v>10</v>
      </c>
      <c r="K8" s="1">
        <v>2</v>
      </c>
      <c r="L8" s="3">
        <v>0</v>
      </c>
      <c r="M8" s="1">
        <v>6</v>
      </c>
      <c r="N8" s="3">
        <v>8</v>
      </c>
      <c r="O8" s="1">
        <v>10</v>
      </c>
      <c r="P8" s="3">
        <v>0</v>
      </c>
      <c r="Q8" s="1">
        <v>2</v>
      </c>
      <c r="R8" s="3">
        <v>2</v>
      </c>
      <c r="S8" s="3">
        <v>1</v>
      </c>
      <c r="T8" s="3">
        <v>11</v>
      </c>
      <c r="U8" s="3">
        <v>2</v>
      </c>
      <c r="V8" s="1">
        <v>18</v>
      </c>
      <c r="W8" s="3">
        <v>2</v>
      </c>
      <c r="X8" s="1">
        <v>7</v>
      </c>
      <c r="Y8" s="3">
        <v>1</v>
      </c>
      <c r="Z8" s="1">
        <v>1</v>
      </c>
      <c r="AA8" s="1">
        <v>2</v>
      </c>
      <c r="AB8" s="1">
        <v>3</v>
      </c>
      <c r="AC8" s="1">
        <v>8</v>
      </c>
      <c r="AD8" s="1">
        <v>6</v>
      </c>
      <c r="AE8" s="1">
        <v>3</v>
      </c>
      <c r="AF8" s="1">
        <v>10</v>
      </c>
      <c r="AG8" s="4">
        <v>2</v>
      </c>
      <c r="AH8" s="1">
        <v>13</v>
      </c>
      <c r="AI8" s="1">
        <v>14</v>
      </c>
      <c r="AJ8" s="1">
        <v>5</v>
      </c>
      <c r="AK8" s="1">
        <v>0</v>
      </c>
      <c r="AL8" s="3">
        <v>1</v>
      </c>
      <c r="AM8" s="1">
        <v>0</v>
      </c>
      <c r="AN8" s="1">
        <v>2</v>
      </c>
    </row>
    <row r="9" spans="1:40" ht="13.5" thickBot="1" x14ac:dyDescent="0.25">
      <c r="A9" s="1" t="s">
        <v>7</v>
      </c>
      <c r="B9" s="1">
        <v>5</v>
      </c>
      <c r="C9" s="1">
        <v>5</v>
      </c>
      <c r="D9" s="1">
        <v>0</v>
      </c>
      <c r="E9" s="1">
        <v>0</v>
      </c>
      <c r="F9" s="1">
        <v>2</v>
      </c>
      <c r="G9" s="1">
        <v>2</v>
      </c>
      <c r="H9" s="3">
        <v>6</v>
      </c>
      <c r="I9" s="1">
        <v>3</v>
      </c>
      <c r="J9" s="3">
        <v>14</v>
      </c>
      <c r="K9" s="1">
        <v>15</v>
      </c>
      <c r="L9" s="3">
        <v>1</v>
      </c>
      <c r="M9" s="1">
        <v>2</v>
      </c>
      <c r="N9" s="4">
        <v>2</v>
      </c>
      <c r="O9" s="1">
        <v>9</v>
      </c>
      <c r="P9" s="3">
        <v>0</v>
      </c>
      <c r="Q9" s="1">
        <v>0</v>
      </c>
      <c r="R9" s="3">
        <v>6</v>
      </c>
      <c r="S9" s="3">
        <v>2</v>
      </c>
      <c r="T9" s="3">
        <v>7</v>
      </c>
      <c r="U9" s="1">
        <v>6</v>
      </c>
      <c r="V9" s="3">
        <v>1</v>
      </c>
      <c r="W9" s="1">
        <v>13</v>
      </c>
      <c r="X9" s="3">
        <v>1</v>
      </c>
      <c r="Y9" s="3">
        <v>2</v>
      </c>
      <c r="Z9" s="1">
        <v>1</v>
      </c>
      <c r="AA9" s="1">
        <v>6</v>
      </c>
      <c r="AB9" s="1">
        <v>2</v>
      </c>
      <c r="AC9" s="1">
        <v>1</v>
      </c>
      <c r="AD9" s="1">
        <v>2</v>
      </c>
      <c r="AE9" s="1">
        <v>3</v>
      </c>
      <c r="AF9" s="1">
        <v>2</v>
      </c>
      <c r="AG9" s="3">
        <v>3</v>
      </c>
      <c r="AH9" s="1">
        <v>1</v>
      </c>
      <c r="AI9" s="1">
        <v>3</v>
      </c>
      <c r="AJ9" s="1">
        <v>14</v>
      </c>
      <c r="AK9" s="1">
        <v>0</v>
      </c>
      <c r="AL9" s="3">
        <v>3</v>
      </c>
      <c r="AM9" s="1">
        <v>1</v>
      </c>
      <c r="AN9" s="1">
        <v>6</v>
      </c>
    </row>
    <row r="10" spans="1:40" ht="13.5" thickBot="1" x14ac:dyDescent="0.25">
      <c r="A10" s="1" t="s">
        <v>8</v>
      </c>
      <c r="B10" s="1">
        <v>7</v>
      </c>
      <c r="C10" s="1">
        <v>10</v>
      </c>
      <c r="D10" s="1">
        <v>0</v>
      </c>
      <c r="E10" s="1">
        <v>0</v>
      </c>
      <c r="F10" s="1">
        <v>-1</v>
      </c>
      <c r="G10" s="1">
        <v>8</v>
      </c>
      <c r="H10" s="3">
        <v>3</v>
      </c>
      <c r="I10" s="1">
        <v>1</v>
      </c>
      <c r="J10" s="3">
        <v>1</v>
      </c>
      <c r="K10" s="1">
        <v>12</v>
      </c>
      <c r="L10" s="3">
        <v>0</v>
      </c>
      <c r="M10" s="1">
        <v>2</v>
      </c>
      <c r="N10" s="3">
        <v>2</v>
      </c>
      <c r="O10" s="1">
        <v>1</v>
      </c>
      <c r="P10" s="3">
        <v>0</v>
      </c>
      <c r="Q10" s="1">
        <v>0</v>
      </c>
      <c r="R10" s="3">
        <v>8</v>
      </c>
      <c r="S10" s="3">
        <v>2</v>
      </c>
      <c r="T10" s="3">
        <v>6</v>
      </c>
      <c r="U10" s="1">
        <v>1</v>
      </c>
      <c r="V10" s="3">
        <v>1</v>
      </c>
      <c r="W10" s="1">
        <v>2</v>
      </c>
      <c r="X10" s="3">
        <v>1</v>
      </c>
      <c r="Y10" s="1">
        <v>1</v>
      </c>
      <c r="Z10" s="3">
        <v>2</v>
      </c>
      <c r="AA10" s="1">
        <v>11</v>
      </c>
      <c r="AB10" s="1">
        <v>6</v>
      </c>
      <c r="AC10" s="1">
        <v>6</v>
      </c>
      <c r="AD10" s="1">
        <v>6</v>
      </c>
      <c r="AE10" s="1">
        <v>9</v>
      </c>
      <c r="AF10" s="1">
        <v>1</v>
      </c>
      <c r="AG10" s="4">
        <v>8</v>
      </c>
      <c r="AH10" s="1">
        <v>2</v>
      </c>
      <c r="AI10" s="1">
        <v>0</v>
      </c>
      <c r="AJ10" s="1">
        <v>1</v>
      </c>
      <c r="AK10" s="1">
        <v>0</v>
      </c>
      <c r="AL10" s="3">
        <v>0</v>
      </c>
      <c r="AM10" s="1">
        <v>6</v>
      </c>
      <c r="AN10" s="1">
        <v>8</v>
      </c>
    </row>
    <row r="11" spans="1:40" ht="13.5" thickBot="1" x14ac:dyDescent="0.25">
      <c r="A11" s="1" t="s">
        <v>9</v>
      </c>
      <c r="B11" s="1">
        <v>1</v>
      </c>
      <c r="C11" s="1">
        <v>6</v>
      </c>
      <c r="D11" s="1">
        <v>3</v>
      </c>
      <c r="E11" s="1">
        <v>1</v>
      </c>
      <c r="F11" s="1">
        <v>15</v>
      </c>
      <c r="G11" s="1">
        <v>11</v>
      </c>
      <c r="H11" s="3">
        <v>11</v>
      </c>
      <c r="I11" s="1">
        <v>1</v>
      </c>
      <c r="J11" s="3">
        <v>0</v>
      </c>
      <c r="K11" s="1">
        <v>8</v>
      </c>
      <c r="L11" s="3">
        <v>1</v>
      </c>
      <c r="M11" s="1">
        <v>5</v>
      </c>
      <c r="N11" s="3">
        <v>1</v>
      </c>
      <c r="O11" s="1">
        <v>2</v>
      </c>
      <c r="P11" s="3">
        <v>0</v>
      </c>
      <c r="Q11" s="1">
        <v>2</v>
      </c>
      <c r="R11" s="3">
        <v>0</v>
      </c>
      <c r="S11" s="3">
        <v>1</v>
      </c>
      <c r="T11" s="3">
        <v>2</v>
      </c>
      <c r="U11" s="1">
        <v>11</v>
      </c>
      <c r="V11" s="3">
        <v>2</v>
      </c>
      <c r="W11" s="1">
        <v>0</v>
      </c>
      <c r="X11" s="3">
        <v>0</v>
      </c>
      <c r="Y11" s="1">
        <v>1</v>
      </c>
      <c r="Z11" s="3">
        <v>6</v>
      </c>
      <c r="AA11" s="1">
        <v>6</v>
      </c>
      <c r="AB11" s="1">
        <v>3</v>
      </c>
      <c r="AC11" s="1">
        <v>2</v>
      </c>
      <c r="AD11" s="1">
        <v>1</v>
      </c>
      <c r="AE11" s="1">
        <v>3</v>
      </c>
      <c r="AF11" s="1">
        <v>3</v>
      </c>
      <c r="AG11" s="4">
        <v>15</v>
      </c>
      <c r="AH11" s="1">
        <v>2</v>
      </c>
      <c r="AI11" s="1">
        <v>6</v>
      </c>
      <c r="AJ11" s="1">
        <v>13</v>
      </c>
      <c r="AK11" s="1">
        <v>1</v>
      </c>
      <c r="AL11" s="3">
        <v>15</v>
      </c>
      <c r="AM11" s="1">
        <v>1</v>
      </c>
      <c r="AN11" s="1">
        <v>2</v>
      </c>
    </row>
    <row r="12" spans="1:40" ht="13.5" thickBot="1" x14ac:dyDescent="0.25">
      <c r="A12" s="1" t="s">
        <v>10</v>
      </c>
      <c r="B12" s="1">
        <v>2</v>
      </c>
      <c r="C12" s="1">
        <v>2</v>
      </c>
      <c r="D12" s="1">
        <v>0</v>
      </c>
      <c r="E12" s="1">
        <v>2</v>
      </c>
      <c r="F12" s="1">
        <v>1</v>
      </c>
      <c r="G12" s="3">
        <v>2</v>
      </c>
      <c r="H12" s="1">
        <v>2</v>
      </c>
      <c r="I12" s="1">
        <v>0</v>
      </c>
      <c r="J12" s="3">
        <v>4</v>
      </c>
      <c r="K12" s="1">
        <v>2</v>
      </c>
      <c r="L12" s="3">
        <v>0</v>
      </c>
      <c r="M12" s="1">
        <v>2</v>
      </c>
      <c r="N12" s="4">
        <v>2</v>
      </c>
      <c r="O12" s="1">
        <v>2</v>
      </c>
      <c r="P12" s="3">
        <v>0</v>
      </c>
      <c r="Q12" s="1">
        <v>2</v>
      </c>
      <c r="R12" s="3">
        <v>2</v>
      </c>
      <c r="S12" s="3">
        <v>3</v>
      </c>
      <c r="T12" s="1">
        <v>4</v>
      </c>
      <c r="U12" s="1">
        <v>6</v>
      </c>
      <c r="V12" s="3">
        <v>1</v>
      </c>
      <c r="W12" s="1">
        <v>0</v>
      </c>
      <c r="X12" s="3">
        <v>12</v>
      </c>
      <c r="Y12" s="1">
        <v>1</v>
      </c>
      <c r="Z12" s="3">
        <v>7</v>
      </c>
      <c r="AA12" s="3">
        <v>2</v>
      </c>
      <c r="AB12" s="1">
        <v>2</v>
      </c>
      <c r="AC12" s="1">
        <v>13</v>
      </c>
      <c r="AD12" s="1">
        <v>2</v>
      </c>
      <c r="AE12" s="1">
        <v>7</v>
      </c>
      <c r="AF12" s="1">
        <v>13</v>
      </c>
      <c r="AG12" s="3">
        <v>2</v>
      </c>
      <c r="AH12" s="1">
        <v>7</v>
      </c>
      <c r="AI12" s="1">
        <v>21</v>
      </c>
      <c r="AJ12" s="1">
        <v>7</v>
      </c>
      <c r="AK12" s="1">
        <v>0</v>
      </c>
      <c r="AL12" s="3">
        <v>2</v>
      </c>
      <c r="AM12" s="1">
        <v>1</v>
      </c>
      <c r="AN12" s="1">
        <v>2</v>
      </c>
    </row>
    <row r="13" spans="1:40" ht="13.5" thickBot="1" x14ac:dyDescent="0.25">
      <c r="A13" s="1" t="s">
        <v>11</v>
      </c>
      <c r="B13" s="1">
        <v>1</v>
      </c>
      <c r="C13" s="1">
        <v>2</v>
      </c>
      <c r="D13" s="1">
        <v>0</v>
      </c>
      <c r="E13" s="1">
        <v>2</v>
      </c>
      <c r="F13" s="1">
        <v>2</v>
      </c>
      <c r="G13" s="3">
        <v>2</v>
      </c>
      <c r="H13" s="1">
        <v>6</v>
      </c>
      <c r="I13" s="1">
        <v>1</v>
      </c>
      <c r="J13" s="3">
        <v>3</v>
      </c>
      <c r="K13" s="1">
        <v>2</v>
      </c>
      <c r="L13" s="3">
        <v>0</v>
      </c>
      <c r="M13" s="1">
        <v>0</v>
      </c>
      <c r="N13" s="3">
        <v>2</v>
      </c>
      <c r="O13" s="1">
        <v>2</v>
      </c>
      <c r="P13" s="3">
        <v>0</v>
      </c>
      <c r="Q13" s="1">
        <v>11</v>
      </c>
      <c r="R13" s="3">
        <v>12</v>
      </c>
      <c r="S13" s="3">
        <v>2</v>
      </c>
      <c r="T13" s="1">
        <v>1</v>
      </c>
      <c r="U13" s="1">
        <v>8</v>
      </c>
      <c r="V13" s="3">
        <v>0</v>
      </c>
      <c r="W13" s="1">
        <v>0</v>
      </c>
      <c r="X13" s="3">
        <v>2</v>
      </c>
      <c r="Y13" s="1">
        <v>2</v>
      </c>
      <c r="Z13" s="3">
        <v>2</v>
      </c>
      <c r="AA13" s="3">
        <v>5</v>
      </c>
      <c r="AB13" s="1">
        <v>10</v>
      </c>
      <c r="AC13" s="1">
        <v>7</v>
      </c>
      <c r="AD13" s="1">
        <v>7</v>
      </c>
      <c r="AE13" s="1">
        <v>9</v>
      </c>
      <c r="AF13" s="1">
        <v>9</v>
      </c>
      <c r="AG13" s="4">
        <v>8</v>
      </c>
      <c r="AH13" s="1">
        <v>5</v>
      </c>
      <c r="AI13" s="1">
        <v>2</v>
      </c>
      <c r="AJ13" s="1">
        <v>2</v>
      </c>
      <c r="AK13" s="1">
        <v>3</v>
      </c>
      <c r="AL13" s="3">
        <v>3</v>
      </c>
      <c r="AM13" s="1">
        <v>6</v>
      </c>
      <c r="AN13" s="1">
        <v>7</v>
      </c>
    </row>
    <row r="14" spans="1:40" ht="13.5" thickBot="1" x14ac:dyDescent="0.25">
      <c r="A14" s="1" t="s">
        <v>12</v>
      </c>
      <c r="B14" s="1">
        <v>2</v>
      </c>
      <c r="C14" s="1">
        <v>0</v>
      </c>
      <c r="D14" s="1">
        <v>0</v>
      </c>
      <c r="E14" s="1">
        <v>2</v>
      </c>
      <c r="F14" s="1">
        <v>2</v>
      </c>
      <c r="G14" s="3">
        <v>2</v>
      </c>
      <c r="H14" s="1">
        <v>2</v>
      </c>
      <c r="I14" s="1">
        <v>1</v>
      </c>
      <c r="J14" s="1">
        <v>1</v>
      </c>
      <c r="K14" s="1">
        <v>8</v>
      </c>
      <c r="L14" s="3">
        <v>1</v>
      </c>
      <c r="M14" s="1">
        <v>2</v>
      </c>
      <c r="N14" s="1">
        <v>8</v>
      </c>
      <c r="O14" s="1">
        <v>2</v>
      </c>
      <c r="P14" s="3">
        <v>0</v>
      </c>
      <c r="Q14" s="1">
        <v>14</v>
      </c>
      <c r="R14" s="3">
        <v>7</v>
      </c>
      <c r="S14" s="3">
        <v>3</v>
      </c>
      <c r="T14" s="1">
        <v>0</v>
      </c>
      <c r="U14" s="1">
        <v>1</v>
      </c>
      <c r="V14" s="3">
        <v>0</v>
      </c>
      <c r="W14" s="1">
        <v>7</v>
      </c>
      <c r="X14" s="3">
        <v>2</v>
      </c>
      <c r="Y14" s="1">
        <v>6</v>
      </c>
      <c r="Z14" s="3">
        <v>2</v>
      </c>
      <c r="AA14" s="3">
        <v>0</v>
      </c>
      <c r="AB14" s="3">
        <v>0</v>
      </c>
      <c r="AC14" s="3">
        <v>2</v>
      </c>
      <c r="AD14" s="1">
        <v>6</v>
      </c>
      <c r="AE14" s="1">
        <v>9</v>
      </c>
      <c r="AF14" s="1">
        <v>2</v>
      </c>
      <c r="AG14" s="4">
        <v>8</v>
      </c>
      <c r="AH14" s="1">
        <v>6</v>
      </c>
      <c r="AI14" s="1">
        <v>16</v>
      </c>
      <c r="AJ14" s="1">
        <v>2</v>
      </c>
      <c r="AK14" s="1">
        <v>13</v>
      </c>
      <c r="AL14" s="3">
        <v>9</v>
      </c>
      <c r="AM14" s="1">
        <v>2</v>
      </c>
      <c r="AN14" s="1">
        <v>6</v>
      </c>
    </row>
    <row r="15" spans="1:40" ht="13.5" thickBot="1" x14ac:dyDescent="0.25">
      <c r="A15" s="1" t="s">
        <v>13</v>
      </c>
      <c r="B15" s="1">
        <v>1</v>
      </c>
      <c r="C15" s="1">
        <v>0</v>
      </c>
      <c r="D15" s="1">
        <v>0</v>
      </c>
      <c r="E15" s="1">
        <v>2</v>
      </c>
      <c r="F15" s="1">
        <v>3</v>
      </c>
      <c r="G15" s="3">
        <v>1</v>
      </c>
      <c r="H15" s="1">
        <v>2</v>
      </c>
      <c r="I15" s="1">
        <v>1</v>
      </c>
      <c r="J15" s="1">
        <v>6</v>
      </c>
      <c r="K15" s="1">
        <v>16</v>
      </c>
      <c r="L15" s="3">
        <v>1</v>
      </c>
      <c r="M15" s="1">
        <v>2</v>
      </c>
      <c r="N15" s="1">
        <v>8</v>
      </c>
      <c r="O15" s="1">
        <v>1</v>
      </c>
      <c r="P15" s="3">
        <v>0</v>
      </c>
      <c r="Q15" s="1">
        <v>6</v>
      </c>
      <c r="R15" s="3">
        <v>6</v>
      </c>
      <c r="S15" s="3">
        <v>2</v>
      </c>
      <c r="T15" s="1">
        <v>0</v>
      </c>
      <c r="U15" s="1">
        <v>6</v>
      </c>
      <c r="V15" s="1">
        <v>0</v>
      </c>
      <c r="W15" s="1">
        <v>2</v>
      </c>
      <c r="X15" s="3">
        <v>5</v>
      </c>
      <c r="Y15" s="1">
        <v>6</v>
      </c>
      <c r="Z15" s="3">
        <v>0</v>
      </c>
      <c r="AA15" s="3">
        <v>7</v>
      </c>
      <c r="AB15" s="1">
        <v>8</v>
      </c>
      <c r="AC15" s="4">
        <v>0</v>
      </c>
      <c r="AD15" s="3">
        <v>2</v>
      </c>
      <c r="AE15" s="3">
        <v>1</v>
      </c>
      <c r="AF15" s="1">
        <v>10</v>
      </c>
      <c r="AG15" s="3">
        <v>3</v>
      </c>
      <c r="AH15" s="1">
        <v>6</v>
      </c>
      <c r="AI15" s="1">
        <v>9</v>
      </c>
      <c r="AJ15" s="1">
        <v>6</v>
      </c>
      <c r="AK15" s="1">
        <v>1</v>
      </c>
      <c r="AL15" s="3">
        <v>3</v>
      </c>
      <c r="AM15" s="1">
        <v>0</v>
      </c>
      <c r="AN15" s="1">
        <v>12</v>
      </c>
    </row>
    <row r="16" spans="1:40" ht="13.5" thickBot="1" x14ac:dyDescent="0.25">
      <c r="A16" s="1" t="s">
        <v>14</v>
      </c>
      <c r="B16" s="1">
        <v>0</v>
      </c>
      <c r="C16" s="1">
        <v>0</v>
      </c>
      <c r="D16" s="1">
        <v>1</v>
      </c>
      <c r="E16" s="1">
        <v>1</v>
      </c>
      <c r="F16" s="1">
        <v>9</v>
      </c>
      <c r="G16" s="1">
        <v>2</v>
      </c>
      <c r="H16" s="1">
        <v>12</v>
      </c>
      <c r="I16" s="1">
        <v>8</v>
      </c>
      <c r="J16" s="1">
        <v>5</v>
      </c>
      <c r="K16" s="1">
        <v>2</v>
      </c>
      <c r="L16" s="3">
        <v>8</v>
      </c>
      <c r="M16" s="1">
        <v>4</v>
      </c>
      <c r="N16" s="1">
        <v>0</v>
      </c>
      <c r="O16" s="1">
        <v>2</v>
      </c>
      <c r="P16" s="3">
        <v>0</v>
      </c>
      <c r="Q16" s="1">
        <v>2</v>
      </c>
      <c r="R16" s="3">
        <v>0</v>
      </c>
      <c r="S16" s="3">
        <v>1</v>
      </c>
      <c r="T16" s="1">
        <v>6</v>
      </c>
      <c r="U16" s="1">
        <v>0</v>
      </c>
      <c r="V16" s="1">
        <v>0</v>
      </c>
      <c r="W16" s="1">
        <v>2</v>
      </c>
      <c r="X16" s="3">
        <v>0</v>
      </c>
      <c r="Y16" s="1">
        <v>1</v>
      </c>
      <c r="Z16" s="3">
        <v>1</v>
      </c>
      <c r="AA16" s="3">
        <v>1</v>
      </c>
      <c r="AB16" s="1">
        <v>2</v>
      </c>
      <c r="AC16" s="1">
        <v>0</v>
      </c>
      <c r="AD16" s="3">
        <v>2</v>
      </c>
      <c r="AE16" s="3">
        <v>3</v>
      </c>
      <c r="AF16" s="3">
        <v>2</v>
      </c>
      <c r="AG16" s="1">
        <v>4</v>
      </c>
      <c r="AH16" s="4">
        <v>12</v>
      </c>
      <c r="AI16" s="3">
        <v>0</v>
      </c>
      <c r="AJ16" s="1">
        <v>12</v>
      </c>
      <c r="AK16" s="1">
        <v>1</v>
      </c>
      <c r="AL16" s="3">
        <v>0</v>
      </c>
      <c r="AM16" s="1">
        <v>0</v>
      </c>
      <c r="AN16" s="1">
        <v>5</v>
      </c>
    </row>
    <row r="17" spans="1:40" ht="13.5" thickBot="1" x14ac:dyDescent="0.25">
      <c r="A17" s="1" t="s">
        <v>15</v>
      </c>
      <c r="B17" s="1">
        <v>6</v>
      </c>
      <c r="C17" s="1">
        <v>0</v>
      </c>
      <c r="D17" s="1">
        <v>1</v>
      </c>
      <c r="E17" s="1">
        <v>1</v>
      </c>
      <c r="F17" s="1">
        <v>2</v>
      </c>
      <c r="G17" s="1">
        <v>8</v>
      </c>
      <c r="H17" s="1">
        <v>2</v>
      </c>
      <c r="I17" s="1">
        <v>11</v>
      </c>
      <c r="J17" s="1">
        <v>9</v>
      </c>
      <c r="K17" s="1">
        <v>5</v>
      </c>
      <c r="L17" s="3">
        <v>5</v>
      </c>
      <c r="M17" s="1">
        <v>1</v>
      </c>
      <c r="N17" s="1">
        <v>0</v>
      </c>
      <c r="O17" s="1">
        <v>3</v>
      </c>
      <c r="P17" s="3">
        <v>0</v>
      </c>
      <c r="Q17" s="1">
        <v>0</v>
      </c>
      <c r="R17" s="3">
        <v>11</v>
      </c>
      <c r="S17" s="3">
        <v>0</v>
      </c>
      <c r="T17" s="1">
        <v>0</v>
      </c>
      <c r="U17" s="1">
        <v>6</v>
      </c>
      <c r="V17" s="1">
        <v>0</v>
      </c>
      <c r="W17" s="1">
        <v>2</v>
      </c>
      <c r="X17" s="1">
        <v>0</v>
      </c>
      <c r="Y17" s="1">
        <v>1</v>
      </c>
      <c r="Z17" s="3">
        <v>-3</v>
      </c>
      <c r="AA17" s="3">
        <v>6</v>
      </c>
      <c r="AB17" s="1">
        <v>2</v>
      </c>
      <c r="AC17" s="1">
        <v>0</v>
      </c>
      <c r="AD17" s="3">
        <v>10</v>
      </c>
      <c r="AE17" s="3">
        <v>2</v>
      </c>
      <c r="AF17" s="3">
        <v>12</v>
      </c>
      <c r="AG17" s="1">
        <v>21</v>
      </c>
      <c r="AH17" s="4">
        <v>1</v>
      </c>
      <c r="AI17" s="3">
        <v>2</v>
      </c>
      <c r="AJ17" s="3">
        <v>0</v>
      </c>
      <c r="AK17" s="3">
        <v>9</v>
      </c>
      <c r="AL17" s="1">
        <v>1</v>
      </c>
      <c r="AM17" s="1">
        <v>8</v>
      </c>
      <c r="AN17" s="1">
        <v>6</v>
      </c>
    </row>
    <row r="18" spans="1:40" ht="13.5" thickBot="1" x14ac:dyDescent="0.25">
      <c r="A18" s="1" t="s">
        <v>16</v>
      </c>
      <c r="B18" s="1">
        <v>0</v>
      </c>
      <c r="C18" s="1">
        <v>0</v>
      </c>
      <c r="D18" s="1">
        <v>2</v>
      </c>
      <c r="E18" s="1">
        <v>2</v>
      </c>
      <c r="F18" s="1">
        <v>11</v>
      </c>
      <c r="G18" s="1">
        <v>2</v>
      </c>
      <c r="H18" s="1">
        <v>2</v>
      </c>
      <c r="I18" s="1">
        <v>4</v>
      </c>
      <c r="J18" s="1">
        <v>13</v>
      </c>
      <c r="K18" s="1">
        <v>2</v>
      </c>
      <c r="L18" s="3">
        <v>2</v>
      </c>
      <c r="M18" s="1">
        <v>0</v>
      </c>
      <c r="N18" s="1">
        <v>2</v>
      </c>
      <c r="O18" s="1">
        <v>7</v>
      </c>
      <c r="P18" s="3">
        <v>0</v>
      </c>
      <c r="Q18" s="1">
        <v>0</v>
      </c>
      <c r="R18" s="3">
        <v>2</v>
      </c>
      <c r="S18" s="3">
        <v>2</v>
      </c>
      <c r="T18" s="1">
        <v>6</v>
      </c>
      <c r="U18" s="1">
        <v>1</v>
      </c>
      <c r="V18" s="1">
        <v>2</v>
      </c>
      <c r="W18" s="1">
        <v>2</v>
      </c>
      <c r="X18" s="1">
        <v>0</v>
      </c>
      <c r="Y18" s="1">
        <v>6</v>
      </c>
      <c r="Z18" s="1">
        <v>0</v>
      </c>
      <c r="AA18" s="3">
        <v>2</v>
      </c>
      <c r="AB18" s="3">
        <v>2</v>
      </c>
      <c r="AC18" s="1">
        <v>0</v>
      </c>
      <c r="AD18" s="3">
        <v>3</v>
      </c>
      <c r="AE18" s="1">
        <v>0</v>
      </c>
      <c r="AF18" s="3">
        <v>6</v>
      </c>
      <c r="AG18" s="1">
        <v>2</v>
      </c>
      <c r="AH18" s="4">
        <v>5</v>
      </c>
      <c r="AI18" s="3">
        <v>6</v>
      </c>
      <c r="AJ18" s="3">
        <v>1</v>
      </c>
      <c r="AK18" s="3">
        <v>3</v>
      </c>
      <c r="AL18" s="1">
        <v>9</v>
      </c>
      <c r="AM18" s="3">
        <v>8</v>
      </c>
      <c r="AN18" s="1">
        <v>2</v>
      </c>
    </row>
    <row r="19" spans="1:40" ht="13.5" thickBot="1" x14ac:dyDescent="0.25">
      <c r="A19" s="1" t="s">
        <v>17</v>
      </c>
      <c r="B19" s="1">
        <v>0</v>
      </c>
      <c r="C19" s="1">
        <v>0</v>
      </c>
      <c r="D19" s="1">
        <v>2</v>
      </c>
      <c r="E19" s="1">
        <v>3</v>
      </c>
      <c r="F19" s="1">
        <v>10</v>
      </c>
      <c r="G19" s="1">
        <v>12</v>
      </c>
      <c r="H19" s="1">
        <v>4</v>
      </c>
      <c r="I19" s="1">
        <v>0</v>
      </c>
      <c r="J19" s="1">
        <v>2</v>
      </c>
      <c r="K19" s="1">
        <v>13</v>
      </c>
      <c r="L19" s="3">
        <v>0</v>
      </c>
      <c r="M19" s="1">
        <v>1</v>
      </c>
      <c r="N19" s="1">
        <v>9</v>
      </c>
      <c r="O19" s="1">
        <v>2</v>
      </c>
      <c r="P19" s="3">
        <v>0</v>
      </c>
      <c r="Q19" s="1">
        <v>0</v>
      </c>
      <c r="R19" s="3">
        <v>6</v>
      </c>
      <c r="S19" s="3">
        <v>8</v>
      </c>
      <c r="T19" s="1">
        <v>3</v>
      </c>
      <c r="U19" s="1">
        <v>2</v>
      </c>
      <c r="V19" s="1">
        <v>6</v>
      </c>
      <c r="W19" s="1">
        <v>5</v>
      </c>
      <c r="X19" s="1">
        <v>0</v>
      </c>
      <c r="Y19" s="1">
        <v>1</v>
      </c>
      <c r="Z19" s="1">
        <v>1</v>
      </c>
      <c r="AA19" s="1">
        <v>2</v>
      </c>
      <c r="AB19" s="3">
        <v>5</v>
      </c>
      <c r="AC19" s="1">
        <v>1</v>
      </c>
      <c r="AD19" s="3">
        <v>-1</v>
      </c>
      <c r="AE19" s="1">
        <v>0</v>
      </c>
      <c r="AF19" s="3">
        <v>2</v>
      </c>
      <c r="AG19" s="1">
        <v>12</v>
      </c>
      <c r="AH19" s="3">
        <v>15</v>
      </c>
      <c r="AI19" s="6">
        <v>2</v>
      </c>
      <c r="AJ19" s="3">
        <v>2</v>
      </c>
      <c r="AK19" s="3">
        <v>6</v>
      </c>
      <c r="AL19" s="1">
        <v>3</v>
      </c>
      <c r="AM19" s="3">
        <v>1</v>
      </c>
      <c r="AN19" s="3">
        <v>15</v>
      </c>
    </row>
    <row r="20" spans="1:40" ht="13.5" thickBot="1" x14ac:dyDescent="0.25">
      <c r="A20" s="1" t="s">
        <v>18</v>
      </c>
      <c r="B20" s="1">
        <v>0</v>
      </c>
      <c r="C20" s="1">
        <v>0</v>
      </c>
      <c r="D20" s="1">
        <v>2</v>
      </c>
      <c r="E20" s="1">
        <v>1</v>
      </c>
      <c r="F20" s="1">
        <v>3</v>
      </c>
      <c r="G20" s="1">
        <v>9</v>
      </c>
      <c r="H20" s="1">
        <v>2</v>
      </c>
      <c r="I20" s="1">
        <v>0</v>
      </c>
      <c r="J20" s="1">
        <v>15</v>
      </c>
      <c r="K20" s="1">
        <v>8</v>
      </c>
      <c r="L20" s="3">
        <v>2</v>
      </c>
      <c r="M20" s="1">
        <v>2</v>
      </c>
      <c r="N20" s="1">
        <v>4</v>
      </c>
      <c r="O20" s="1">
        <v>3</v>
      </c>
      <c r="P20" s="3">
        <v>0</v>
      </c>
      <c r="Q20" s="1">
        <v>11</v>
      </c>
      <c r="R20" s="3">
        <v>6</v>
      </c>
      <c r="S20" s="3">
        <v>2</v>
      </c>
      <c r="T20" s="1">
        <v>0</v>
      </c>
      <c r="U20" s="1">
        <v>2</v>
      </c>
      <c r="V20" s="1">
        <v>1</v>
      </c>
      <c r="W20" s="1">
        <v>1</v>
      </c>
      <c r="X20" s="1">
        <v>0</v>
      </c>
      <c r="Y20" s="1">
        <v>8</v>
      </c>
      <c r="Z20" s="1">
        <v>0</v>
      </c>
      <c r="AA20" s="1">
        <v>2</v>
      </c>
      <c r="AB20" s="3">
        <v>9</v>
      </c>
      <c r="AC20" s="1">
        <v>4</v>
      </c>
      <c r="AD20" s="3">
        <v>17</v>
      </c>
      <c r="AE20" s="1">
        <v>1</v>
      </c>
      <c r="AF20" s="3">
        <v>15</v>
      </c>
      <c r="AG20" s="1">
        <v>12</v>
      </c>
      <c r="AH20" s="3">
        <v>6</v>
      </c>
      <c r="AI20" s="4">
        <v>2</v>
      </c>
      <c r="AJ20" s="3">
        <v>2</v>
      </c>
      <c r="AK20" s="3">
        <v>0</v>
      </c>
      <c r="AL20" s="1">
        <v>3</v>
      </c>
      <c r="AM20" s="3">
        <v>1</v>
      </c>
      <c r="AN20" s="3">
        <v>6</v>
      </c>
    </row>
    <row r="21" spans="1:40" ht="13.5" thickBot="1" x14ac:dyDescent="0.25">
      <c r="A21" s="1" t="s">
        <v>19</v>
      </c>
      <c r="B21" s="1">
        <v>0</v>
      </c>
      <c r="C21" s="1">
        <v>0</v>
      </c>
      <c r="D21" s="1">
        <v>1</v>
      </c>
      <c r="E21" s="1">
        <v>3</v>
      </c>
      <c r="F21" s="1">
        <v>2</v>
      </c>
      <c r="G21" s="1">
        <v>2</v>
      </c>
      <c r="H21" s="1">
        <v>1</v>
      </c>
      <c r="I21" s="1">
        <v>0</v>
      </c>
      <c r="J21" s="1">
        <v>3</v>
      </c>
      <c r="K21" s="1">
        <v>2</v>
      </c>
      <c r="L21" s="3">
        <v>-1</v>
      </c>
      <c r="M21" s="1">
        <v>2</v>
      </c>
      <c r="N21" s="1">
        <v>2</v>
      </c>
      <c r="O21" s="1">
        <v>2</v>
      </c>
      <c r="P21" s="3">
        <v>0</v>
      </c>
      <c r="Q21" s="1">
        <v>2</v>
      </c>
      <c r="R21" s="3">
        <v>1</v>
      </c>
      <c r="S21" s="3">
        <v>2</v>
      </c>
      <c r="T21" s="1">
        <v>1</v>
      </c>
      <c r="U21" s="1">
        <v>5</v>
      </c>
      <c r="V21" s="1">
        <v>2</v>
      </c>
      <c r="W21" s="1">
        <v>2</v>
      </c>
      <c r="X21" s="1">
        <v>0</v>
      </c>
      <c r="Y21" s="1">
        <v>2</v>
      </c>
      <c r="Z21" s="1">
        <v>1</v>
      </c>
      <c r="AA21" s="1">
        <v>7</v>
      </c>
      <c r="AB21" s="3">
        <v>7</v>
      </c>
      <c r="AC21" s="1">
        <v>5</v>
      </c>
      <c r="AD21" s="3">
        <v>2</v>
      </c>
      <c r="AE21" s="1">
        <v>10</v>
      </c>
      <c r="AF21" s="3">
        <v>2</v>
      </c>
      <c r="AG21" s="1">
        <v>12</v>
      </c>
      <c r="AH21" s="3">
        <v>6</v>
      </c>
      <c r="AI21" s="4">
        <v>6</v>
      </c>
      <c r="AJ21" s="3">
        <v>2</v>
      </c>
      <c r="AK21" s="3">
        <v>3</v>
      </c>
      <c r="AL21" s="1">
        <v>7</v>
      </c>
      <c r="AM21" s="3">
        <v>0</v>
      </c>
      <c r="AN21" s="3">
        <v>2</v>
      </c>
    </row>
    <row r="25" spans="1:40" x14ac:dyDescent="0.2">
      <c r="A25" s="1" t="s">
        <v>60</v>
      </c>
      <c r="B25" s="1">
        <f>CountColor($A$41,B2:B21)</f>
        <v>1</v>
      </c>
      <c r="C25" s="1">
        <f t="shared" ref="C25:G25" si="0">CountColor($A$41,C2:C21)</f>
        <v>4</v>
      </c>
      <c r="D25" s="1">
        <f t="shared" si="0"/>
        <v>4</v>
      </c>
      <c r="E25" s="1">
        <f t="shared" si="0"/>
        <v>1</v>
      </c>
      <c r="F25" s="1">
        <f t="shared" si="0"/>
        <v>3</v>
      </c>
      <c r="G25" s="1">
        <f t="shared" si="0"/>
        <v>6</v>
      </c>
      <c r="H25" s="1">
        <f t="shared" ref="H25:AM25" si="1">CountColor($A$41,H2:H21)</f>
        <v>7</v>
      </c>
      <c r="I25" s="1">
        <f t="shared" si="1"/>
        <v>3</v>
      </c>
      <c r="J25" s="1">
        <f t="shared" si="1"/>
        <v>7</v>
      </c>
      <c r="K25" s="1">
        <f t="shared" si="1"/>
        <v>5</v>
      </c>
      <c r="L25" s="1">
        <f t="shared" si="1"/>
        <v>15</v>
      </c>
      <c r="M25" s="1">
        <f t="shared" si="1"/>
        <v>5</v>
      </c>
      <c r="N25" s="1">
        <f t="shared" si="1"/>
        <v>7</v>
      </c>
      <c r="O25" s="1">
        <f t="shared" si="1"/>
        <v>5</v>
      </c>
      <c r="P25" s="1">
        <f t="shared" si="1"/>
        <v>15</v>
      </c>
      <c r="Q25" s="1">
        <f t="shared" si="1"/>
        <v>5</v>
      </c>
      <c r="R25" s="1">
        <f t="shared" si="1"/>
        <v>15</v>
      </c>
      <c r="S25" s="1">
        <f t="shared" si="1"/>
        <v>15</v>
      </c>
      <c r="T25" s="1">
        <f t="shared" si="1"/>
        <v>5</v>
      </c>
      <c r="U25" s="1">
        <f t="shared" si="1"/>
        <v>7</v>
      </c>
      <c r="V25" s="1">
        <f t="shared" si="1"/>
        <v>6</v>
      </c>
      <c r="W25" s="1">
        <f t="shared" si="1"/>
        <v>7</v>
      </c>
      <c r="X25" s="1">
        <f t="shared" si="1"/>
        <v>8</v>
      </c>
      <c r="Y25" s="1">
        <f t="shared" si="1"/>
        <v>8</v>
      </c>
      <c r="Z25" s="1">
        <f t="shared" si="1"/>
        <v>8</v>
      </c>
      <c r="AA25" s="1">
        <f t="shared" si="1"/>
        <v>7</v>
      </c>
      <c r="AB25" s="1">
        <f t="shared" si="1"/>
        <v>5</v>
      </c>
      <c r="AC25" s="1">
        <f t="shared" si="1"/>
        <v>2</v>
      </c>
      <c r="AD25" s="1">
        <f t="shared" si="1"/>
        <v>7</v>
      </c>
      <c r="AE25" s="1">
        <f t="shared" si="1"/>
        <v>3</v>
      </c>
      <c r="AF25" s="1">
        <f t="shared" si="1"/>
        <v>6</v>
      </c>
      <c r="AG25" s="1">
        <f t="shared" si="1"/>
        <v>14</v>
      </c>
      <c r="AH25" s="1">
        <f t="shared" si="1"/>
        <v>6</v>
      </c>
      <c r="AI25" s="1">
        <f t="shared" si="1"/>
        <v>6</v>
      </c>
      <c r="AJ25" s="1">
        <f t="shared" si="1"/>
        <v>5</v>
      </c>
      <c r="AK25" s="1">
        <f t="shared" si="1"/>
        <v>5</v>
      </c>
      <c r="AL25" s="1">
        <f t="shared" si="1"/>
        <v>15</v>
      </c>
      <c r="AM25" s="1">
        <f t="shared" si="1"/>
        <v>4</v>
      </c>
      <c r="AN25" s="1">
        <f>CountColor($A$41,AN2:AN21)</f>
        <v>3</v>
      </c>
    </row>
    <row r="26" spans="1:40" x14ac:dyDescent="0.2">
      <c r="A26" s="1" t="s">
        <v>61</v>
      </c>
      <c r="B26" s="1">
        <f>CountColor($A$42,B2:B21)</f>
        <v>19</v>
      </c>
      <c r="C26" s="1">
        <f t="shared" ref="C26:G26" si="2">CountColor($A$42,C2:C21)</f>
        <v>16</v>
      </c>
      <c r="D26" s="1">
        <f t="shared" si="2"/>
        <v>16</v>
      </c>
      <c r="E26" s="1">
        <f t="shared" si="2"/>
        <v>19</v>
      </c>
      <c r="F26" s="1">
        <f t="shared" si="2"/>
        <v>17</v>
      </c>
      <c r="G26" s="1">
        <f t="shared" si="2"/>
        <v>14</v>
      </c>
      <c r="H26" s="1">
        <f t="shared" ref="H26:AM26" si="3">CountColor($A$42,H2:H21)</f>
        <v>13</v>
      </c>
      <c r="I26" s="1">
        <f t="shared" si="3"/>
        <v>17</v>
      </c>
      <c r="J26" s="1">
        <f t="shared" si="3"/>
        <v>13</v>
      </c>
      <c r="K26" s="1">
        <f t="shared" si="3"/>
        <v>15</v>
      </c>
      <c r="L26" s="1">
        <f t="shared" si="3"/>
        <v>5</v>
      </c>
      <c r="M26" s="1">
        <f t="shared" si="3"/>
        <v>15</v>
      </c>
      <c r="N26" s="1">
        <f t="shared" si="3"/>
        <v>13</v>
      </c>
      <c r="O26" s="1">
        <f t="shared" si="3"/>
        <v>15</v>
      </c>
      <c r="P26" s="1">
        <f t="shared" si="3"/>
        <v>5</v>
      </c>
      <c r="Q26" s="1">
        <f t="shared" si="3"/>
        <v>15</v>
      </c>
      <c r="R26" s="1">
        <f t="shared" si="3"/>
        <v>5</v>
      </c>
      <c r="S26" s="1">
        <f t="shared" si="3"/>
        <v>5</v>
      </c>
      <c r="T26" s="1">
        <f t="shared" si="3"/>
        <v>15</v>
      </c>
      <c r="U26" s="1">
        <f t="shared" si="3"/>
        <v>13</v>
      </c>
      <c r="V26" s="1">
        <f t="shared" si="3"/>
        <v>14</v>
      </c>
      <c r="W26" s="1">
        <f t="shared" si="3"/>
        <v>13</v>
      </c>
      <c r="X26" s="1">
        <f t="shared" si="3"/>
        <v>12</v>
      </c>
      <c r="Y26" s="1">
        <f t="shared" si="3"/>
        <v>12</v>
      </c>
      <c r="Z26" s="1">
        <f t="shared" si="3"/>
        <v>12</v>
      </c>
      <c r="AA26" s="1">
        <f t="shared" si="3"/>
        <v>13</v>
      </c>
      <c r="AB26" s="1">
        <f t="shared" si="3"/>
        <v>15</v>
      </c>
      <c r="AC26" s="1">
        <f t="shared" si="3"/>
        <v>18</v>
      </c>
      <c r="AD26" s="1">
        <f t="shared" si="3"/>
        <v>13</v>
      </c>
      <c r="AE26" s="1">
        <f t="shared" si="3"/>
        <v>17</v>
      </c>
      <c r="AF26" s="1">
        <f t="shared" si="3"/>
        <v>14</v>
      </c>
      <c r="AG26" s="1">
        <f t="shared" si="3"/>
        <v>6</v>
      </c>
      <c r="AH26" s="1">
        <f t="shared" si="3"/>
        <v>14</v>
      </c>
      <c r="AI26" s="1">
        <f t="shared" si="3"/>
        <v>14</v>
      </c>
      <c r="AJ26" s="1">
        <f t="shared" si="3"/>
        <v>15</v>
      </c>
      <c r="AK26" s="1">
        <f t="shared" si="3"/>
        <v>15</v>
      </c>
      <c r="AL26" s="1">
        <f t="shared" si="3"/>
        <v>5</v>
      </c>
      <c r="AM26" s="1">
        <f t="shared" si="3"/>
        <v>16</v>
      </c>
      <c r="AN26" s="1">
        <f>CountColor($A$42,AN2:AN21)</f>
        <v>17</v>
      </c>
    </row>
    <row r="27" spans="1:40" x14ac:dyDescent="0.2">
      <c r="A27" s="1" t="s">
        <v>62</v>
      </c>
      <c r="B27" s="1">
        <f>SumColor($A$41,B2:B21)</f>
        <v>1</v>
      </c>
      <c r="C27" s="1">
        <f t="shared" ref="C27:G27" si="4">SumColor($A$41,C2:C21)</f>
        <v>17</v>
      </c>
      <c r="D27" s="1">
        <f t="shared" si="4"/>
        <v>3</v>
      </c>
      <c r="E27" s="1">
        <f t="shared" si="4"/>
        <v>2</v>
      </c>
      <c r="F27" s="1">
        <f t="shared" si="4"/>
        <v>7</v>
      </c>
      <c r="G27" s="1">
        <f t="shared" si="4"/>
        <v>11</v>
      </c>
      <c r="H27" s="1">
        <f t="shared" ref="H27:AM27" si="5">SumColor($A$41,H2:H21)</f>
        <v>43</v>
      </c>
      <c r="I27" s="1">
        <f t="shared" si="5"/>
        <v>8</v>
      </c>
      <c r="J27" s="1">
        <f t="shared" si="5"/>
        <v>35</v>
      </c>
      <c r="K27" s="1">
        <f t="shared" si="5"/>
        <v>19</v>
      </c>
      <c r="L27" s="1">
        <f t="shared" si="5"/>
        <v>20</v>
      </c>
      <c r="M27" s="1">
        <f t="shared" si="5"/>
        <v>19</v>
      </c>
      <c r="N27" s="1">
        <f t="shared" si="5"/>
        <v>28</v>
      </c>
      <c r="O27" s="1">
        <f t="shared" si="5"/>
        <v>19</v>
      </c>
      <c r="P27" s="1">
        <f t="shared" si="5"/>
        <v>0</v>
      </c>
      <c r="Q27" s="1">
        <f t="shared" si="5"/>
        <v>23</v>
      </c>
      <c r="R27" s="1">
        <f t="shared" si="5"/>
        <v>76</v>
      </c>
      <c r="S27" s="1">
        <f t="shared" si="5"/>
        <v>33</v>
      </c>
      <c r="T27" s="1">
        <f t="shared" si="5"/>
        <v>30</v>
      </c>
      <c r="U27" s="1">
        <f t="shared" si="5"/>
        <v>54</v>
      </c>
      <c r="V27" s="1">
        <f t="shared" si="5"/>
        <v>5</v>
      </c>
      <c r="W27" s="1">
        <f t="shared" si="5"/>
        <v>29</v>
      </c>
      <c r="X27" s="1">
        <f t="shared" si="5"/>
        <v>23</v>
      </c>
      <c r="Y27" s="1">
        <f t="shared" si="5"/>
        <v>31</v>
      </c>
      <c r="Z27" s="1">
        <f t="shared" si="5"/>
        <v>17</v>
      </c>
      <c r="AA27" s="1">
        <f t="shared" si="5"/>
        <v>23</v>
      </c>
      <c r="AB27" s="1">
        <f t="shared" si="5"/>
        <v>23</v>
      </c>
      <c r="AC27" s="1">
        <f t="shared" si="5"/>
        <v>2</v>
      </c>
      <c r="AD27" s="1">
        <f t="shared" si="5"/>
        <v>35</v>
      </c>
      <c r="AE27" s="1">
        <f t="shared" si="5"/>
        <v>6</v>
      </c>
      <c r="AF27" s="1">
        <f t="shared" si="5"/>
        <v>39</v>
      </c>
      <c r="AG27" s="1">
        <f t="shared" si="5"/>
        <v>86</v>
      </c>
      <c r="AH27" s="1">
        <f t="shared" si="5"/>
        <v>45</v>
      </c>
      <c r="AI27" s="1">
        <f t="shared" si="5"/>
        <v>18</v>
      </c>
      <c r="AJ27" s="1">
        <f t="shared" si="5"/>
        <v>7</v>
      </c>
      <c r="AK27" s="1">
        <f t="shared" si="5"/>
        <v>21</v>
      </c>
      <c r="AL27" s="1">
        <f t="shared" si="5"/>
        <v>80</v>
      </c>
      <c r="AM27" s="1">
        <f t="shared" si="5"/>
        <v>10</v>
      </c>
      <c r="AN27" s="1">
        <f>SumColor($A$41,AN2:AN21)</f>
        <v>23</v>
      </c>
    </row>
    <row r="28" spans="1:40" x14ac:dyDescent="0.2">
      <c r="A28" s="1" t="s">
        <v>63</v>
      </c>
      <c r="B28" s="1">
        <f>SumColor($A$42,B2:B21)</f>
        <v>47</v>
      </c>
      <c r="C28" s="1">
        <f t="shared" ref="C28:G28" si="6">SumColor($A$42,C2:C21)</f>
        <v>40</v>
      </c>
      <c r="D28" s="1">
        <f t="shared" si="6"/>
        <v>15</v>
      </c>
      <c r="E28" s="1">
        <f t="shared" si="6"/>
        <v>28</v>
      </c>
      <c r="F28" s="1">
        <f t="shared" si="6"/>
        <v>71</v>
      </c>
      <c r="G28" s="1">
        <f t="shared" si="6"/>
        <v>86</v>
      </c>
      <c r="H28" s="1">
        <f t="shared" ref="H28:AM28" si="7">SumColor($A$42,H2:H21)</f>
        <v>54</v>
      </c>
      <c r="I28" s="1">
        <f t="shared" si="7"/>
        <v>40</v>
      </c>
      <c r="J28" s="1">
        <f t="shared" si="7"/>
        <v>101</v>
      </c>
      <c r="K28" s="1">
        <f t="shared" si="7"/>
        <v>104</v>
      </c>
      <c r="L28" s="1">
        <f t="shared" si="7"/>
        <v>3</v>
      </c>
      <c r="M28" s="1">
        <f t="shared" si="7"/>
        <v>33</v>
      </c>
      <c r="N28" s="1">
        <f t="shared" si="7"/>
        <v>40</v>
      </c>
      <c r="O28" s="1">
        <f t="shared" si="7"/>
        <v>51</v>
      </c>
      <c r="P28" s="1">
        <f t="shared" si="7"/>
        <v>4</v>
      </c>
      <c r="Q28" s="1">
        <f t="shared" si="7"/>
        <v>63</v>
      </c>
      <c r="R28" s="1">
        <f t="shared" si="7"/>
        <v>34</v>
      </c>
      <c r="S28" s="1">
        <f t="shared" si="7"/>
        <v>17</v>
      </c>
      <c r="T28" s="1">
        <f t="shared" si="7"/>
        <v>45</v>
      </c>
      <c r="U28" s="1">
        <f t="shared" si="7"/>
        <v>55</v>
      </c>
      <c r="V28" s="1">
        <f t="shared" si="7"/>
        <v>47</v>
      </c>
      <c r="W28" s="1">
        <f t="shared" si="7"/>
        <v>38</v>
      </c>
      <c r="X28" s="1">
        <f t="shared" si="7"/>
        <v>36</v>
      </c>
      <c r="Y28" s="1">
        <f t="shared" si="7"/>
        <v>36</v>
      </c>
      <c r="Z28" s="1">
        <f t="shared" si="7"/>
        <v>20</v>
      </c>
      <c r="AA28" s="1">
        <f t="shared" si="7"/>
        <v>62</v>
      </c>
      <c r="AB28" s="1">
        <f t="shared" si="7"/>
        <v>68</v>
      </c>
      <c r="AC28" s="1">
        <f t="shared" si="7"/>
        <v>90</v>
      </c>
      <c r="AD28" s="1">
        <f t="shared" si="7"/>
        <v>39</v>
      </c>
      <c r="AE28" s="1">
        <f t="shared" si="7"/>
        <v>77</v>
      </c>
      <c r="AF28" s="1">
        <f t="shared" si="7"/>
        <v>64</v>
      </c>
      <c r="AG28" s="1">
        <f t="shared" si="7"/>
        <v>63</v>
      </c>
      <c r="AH28" s="1">
        <f t="shared" si="7"/>
        <v>73</v>
      </c>
      <c r="AI28" s="1">
        <f t="shared" si="7"/>
        <v>104</v>
      </c>
      <c r="AJ28" s="1">
        <f t="shared" si="7"/>
        <v>92</v>
      </c>
      <c r="AK28" s="1">
        <f t="shared" si="7"/>
        <v>39</v>
      </c>
      <c r="AL28" s="1">
        <f t="shared" si="7"/>
        <v>23</v>
      </c>
      <c r="AM28" s="1">
        <f t="shared" si="7"/>
        <v>31</v>
      </c>
      <c r="AN28" s="1">
        <f>SumColor($A$42,AN2:AN21)</f>
        <v>82</v>
      </c>
    </row>
    <row r="29" spans="1:40" x14ac:dyDescent="0.2">
      <c r="A29" s="1" t="s">
        <v>64</v>
      </c>
      <c r="B29" s="13">
        <f>B27/B25</f>
        <v>1</v>
      </c>
      <c r="C29" s="13">
        <f t="shared" ref="C29:G29" si="8">C27/C25</f>
        <v>4.25</v>
      </c>
      <c r="D29" s="13">
        <f t="shared" si="8"/>
        <v>0.75</v>
      </c>
      <c r="E29" s="13">
        <f t="shared" si="8"/>
        <v>2</v>
      </c>
      <c r="F29" s="13">
        <f t="shared" si="8"/>
        <v>2.3333333333333335</v>
      </c>
      <c r="G29" s="13">
        <f t="shared" si="8"/>
        <v>1.8333333333333333</v>
      </c>
      <c r="H29" s="13">
        <f t="shared" ref="H29:AM29" si="9">H27/H25</f>
        <v>6.1428571428571432</v>
      </c>
      <c r="I29" s="13">
        <f t="shared" si="9"/>
        <v>2.6666666666666665</v>
      </c>
      <c r="J29" s="13">
        <f t="shared" si="9"/>
        <v>5</v>
      </c>
      <c r="K29" s="13">
        <f t="shared" si="9"/>
        <v>3.8</v>
      </c>
      <c r="L29" s="13">
        <f t="shared" si="9"/>
        <v>1.3333333333333333</v>
      </c>
      <c r="M29" s="13">
        <f t="shared" si="9"/>
        <v>3.8</v>
      </c>
      <c r="N29" s="13">
        <f t="shared" si="9"/>
        <v>4</v>
      </c>
      <c r="O29" s="13">
        <f t="shared" si="9"/>
        <v>3.8</v>
      </c>
      <c r="P29" s="13">
        <f t="shared" si="9"/>
        <v>0</v>
      </c>
      <c r="Q29" s="13">
        <f t="shared" si="9"/>
        <v>4.5999999999999996</v>
      </c>
      <c r="R29" s="13">
        <f t="shared" si="9"/>
        <v>5.0666666666666664</v>
      </c>
      <c r="S29" s="13">
        <f t="shared" si="9"/>
        <v>2.2000000000000002</v>
      </c>
      <c r="T29" s="13">
        <f t="shared" si="9"/>
        <v>6</v>
      </c>
      <c r="U29" s="13">
        <f t="shared" si="9"/>
        <v>7.7142857142857144</v>
      </c>
      <c r="V29" s="13">
        <f t="shared" si="9"/>
        <v>0.83333333333333337</v>
      </c>
      <c r="W29" s="13">
        <f t="shared" si="9"/>
        <v>4.1428571428571432</v>
      </c>
      <c r="X29" s="13">
        <f t="shared" si="9"/>
        <v>2.875</v>
      </c>
      <c r="Y29" s="13">
        <f t="shared" si="9"/>
        <v>3.875</v>
      </c>
      <c r="Z29" s="13">
        <f t="shared" si="9"/>
        <v>2.125</v>
      </c>
      <c r="AA29" s="13">
        <f t="shared" si="9"/>
        <v>3.2857142857142856</v>
      </c>
      <c r="AB29" s="13">
        <f t="shared" si="9"/>
        <v>4.5999999999999996</v>
      </c>
      <c r="AC29" s="13">
        <f t="shared" si="9"/>
        <v>1</v>
      </c>
      <c r="AD29" s="13">
        <f t="shared" si="9"/>
        <v>5</v>
      </c>
      <c r="AE29" s="13">
        <f t="shared" si="9"/>
        <v>2</v>
      </c>
      <c r="AF29" s="13">
        <f t="shared" si="9"/>
        <v>6.5</v>
      </c>
      <c r="AG29" s="13">
        <f t="shared" si="9"/>
        <v>6.1428571428571432</v>
      </c>
      <c r="AH29" s="13">
        <f t="shared" si="9"/>
        <v>7.5</v>
      </c>
      <c r="AI29" s="13">
        <f t="shared" si="9"/>
        <v>3</v>
      </c>
      <c r="AJ29" s="13">
        <f t="shared" si="9"/>
        <v>1.4</v>
      </c>
      <c r="AK29" s="13">
        <f t="shared" si="9"/>
        <v>4.2</v>
      </c>
      <c r="AL29" s="13">
        <f t="shared" si="9"/>
        <v>5.333333333333333</v>
      </c>
      <c r="AM29" s="13">
        <f t="shared" si="9"/>
        <v>2.5</v>
      </c>
      <c r="AN29" s="13">
        <f>AN27/AN25</f>
        <v>7.666666666666667</v>
      </c>
    </row>
    <row r="30" spans="1:40" x14ac:dyDescent="0.2">
      <c r="A30" s="1" t="s">
        <v>65</v>
      </c>
      <c r="B30" s="13">
        <f>B28/B26</f>
        <v>2.4736842105263159</v>
      </c>
      <c r="C30" s="13">
        <f t="shared" ref="C30:G30" si="10">C28/C26</f>
        <v>2.5</v>
      </c>
      <c r="D30" s="13">
        <f t="shared" si="10"/>
        <v>0.9375</v>
      </c>
      <c r="E30" s="13">
        <f t="shared" si="10"/>
        <v>1.4736842105263157</v>
      </c>
      <c r="F30" s="13">
        <f t="shared" si="10"/>
        <v>4.1764705882352944</v>
      </c>
      <c r="G30" s="13">
        <f t="shared" si="10"/>
        <v>6.1428571428571432</v>
      </c>
      <c r="H30" s="13">
        <f t="shared" ref="H30:AM30" si="11">H28/H26</f>
        <v>4.1538461538461542</v>
      </c>
      <c r="I30" s="13">
        <f t="shared" si="11"/>
        <v>2.3529411764705883</v>
      </c>
      <c r="J30" s="13">
        <f t="shared" si="11"/>
        <v>7.7692307692307692</v>
      </c>
      <c r="K30" s="13">
        <f t="shared" si="11"/>
        <v>6.9333333333333336</v>
      </c>
      <c r="L30" s="13">
        <f t="shared" si="11"/>
        <v>0.6</v>
      </c>
      <c r="M30" s="13">
        <f t="shared" si="11"/>
        <v>2.2000000000000002</v>
      </c>
      <c r="N30" s="13">
        <f t="shared" si="11"/>
        <v>3.0769230769230771</v>
      </c>
      <c r="O30" s="13">
        <f t="shared" si="11"/>
        <v>3.4</v>
      </c>
      <c r="P30" s="13">
        <f t="shared" si="11"/>
        <v>0.8</v>
      </c>
      <c r="Q30" s="13">
        <f t="shared" si="11"/>
        <v>4.2</v>
      </c>
      <c r="R30" s="13">
        <f t="shared" si="11"/>
        <v>6.8</v>
      </c>
      <c r="S30" s="13">
        <f t="shared" si="11"/>
        <v>3.4</v>
      </c>
      <c r="T30" s="13">
        <f t="shared" si="11"/>
        <v>3</v>
      </c>
      <c r="U30" s="13">
        <f t="shared" si="11"/>
        <v>4.2307692307692308</v>
      </c>
      <c r="V30" s="13">
        <f t="shared" si="11"/>
        <v>3.3571428571428572</v>
      </c>
      <c r="W30" s="13">
        <f t="shared" si="11"/>
        <v>2.9230769230769229</v>
      </c>
      <c r="X30" s="13">
        <f t="shared" si="11"/>
        <v>3</v>
      </c>
      <c r="Y30" s="13">
        <f t="shared" si="11"/>
        <v>3</v>
      </c>
      <c r="Z30" s="13">
        <f t="shared" si="11"/>
        <v>1.6666666666666667</v>
      </c>
      <c r="AA30" s="13">
        <f t="shared" si="11"/>
        <v>4.7692307692307692</v>
      </c>
      <c r="AB30" s="13">
        <f t="shared" si="11"/>
        <v>4.5333333333333332</v>
      </c>
      <c r="AC30" s="13">
        <f t="shared" si="11"/>
        <v>5</v>
      </c>
      <c r="AD30" s="13">
        <f t="shared" si="11"/>
        <v>3</v>
      </c>
      <c r="AE30" s="13">
        <f t="shared" si="11"/>
        <v>4.5294117647058822</v>
      </c>
      <c r="AF30" s="13">
        <f t="shared" si="11"/>
        <v>4.5714285714285712</v>
      </c>
      <c r="AG30" s="13">
        <f t="shared" si="11"/>
        <v>10.5</v>
      </c>
      <c r="AH30" s="13">
        <f t="shared" si="11"/>
        <v>5.2142857142857144</v>
      </c>
      <c r="AI30" s="13">
        <f t="shared" si="11"/>
        <v>7.4285714285714288</v>
      </c>
      <c r="AJ30" s="13">
        <f t="shared" si="11"/>
        <v>6.1333333333333337</v>
      </c>
      <c r="AK30" s="13">
        <f t="shared" si="11"/>
        <v>2.6</v>
      </c>
      <c r="AL30" s="13">
        <f t="shared" si="11"/>
        <v>4.5999999999999996</v>
      </c>
      <c r="AM30" s="13">
        <f t="shared" si="11"/>
        <v>1.9375</v>
      </c>
      <c r="AN30" s="13">
        <f>AN28/AN26</f>
        <v>4.8235294117647056</v>
      </c>
    </row>
    <row r="31" spans="1:40" ht="13.5" thickBot="1" x14ac:dyDescent="0.25"/>
    <row r="32" spans="1:40" x14ac:dyDescent="0.2">
      <c r="A32" s="7" t="s">
        <v>66</v>
      </c>
      <c r="B32" s="8"/>
      <c r="C32" s="8"/>
      <c r="D32" s="11">
        <f>SUM(N7,N9,N12,U6,AC15,AG2,AG3,AG4,AG5,AG8,AG10,AG11,AG13,AG14,AH16,AH17,,AI19,AI20,AI21)</f>
        <v>108</v>
      </c>
    </row>
    <row r="33" spans="1:4" ht="13.5" thickBot="1" x14ac:dyDescent="0.25">
      <c r="A33" s="9" t="s">
        <v>67</v>
      </c>
      <c r="B33" s="10"/>
      <c r="C33" s="10"/>
      <c r="D33" s="12">
        <f>D32/20</f>
        <v>5.4</v>
      </c>
    </row>
    <row r="41" spans="1:4" x14ac:dyDescent="0.2">
      <c r="A41" s="3"/>
    </row>
  </sheetData>
  <mergeCells count="2">
    <mergeCell ref="A32:C32"/>
    <mergeCell ref="A33:C33"/>
  </mergeCells>
  <conditionalFormatting sqref="B29:B30">
    <cfRule type="colorScale" priority="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29:C30">
    <cfRule type="colorScale" priority="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9:D30">
    <cfRule type="colorScale" priority="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9:E30">
    <cfRule type="colorScale" priority="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29:F30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29:G30"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29:H30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29:I30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29:J30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29:K30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9:L30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29:M30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29:N30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29:O30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29:P30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29:Q30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29:R30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29:S30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29:T30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29:U30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29:V30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29:W30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29:X30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29:Y30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29:Z30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29:AA30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29:AB30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29:AC30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29:AD30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E29:AE30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F29:AF30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G29:AG30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H29:AH30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I29:AI30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J29:AJ30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K29:AK30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L29:AL30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M29:AM30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29:AN3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Caruana, Christopher</dc:creator>
  <cp:lastModifiedBy>Caruana, Christopher</cp:lastModifiedBy>
  <dcterms:created xsi:type="dcterms:W3CDTF">2018-12-31T04:33:03Z</dcterms:created>
  <dcterms:modified xsi:type="dcterms:W3CDTF">2018-12-31T06:12:30Z</dcterms:modified>
</cp:coreProperties>
</file>